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3995"/>
  </bookViews>
  <sheets>
    <sheet name="BOM" sheetId="1" r:id="rId1"/>
    <sheet name="Locked Decisions" sheetId="2" r:id="rId2"/>
  </sheets>
  <calcPr calcId="145621"/>
</workbook>
</file>

<file path=xl/calcChain.xml><?xml version="1.0" encoding="utf-8"?>
<calcChain xmlns="http://schemas.openxmlformats.org/spreadsheetml/2006/main">
  <c r="K8" i="1" l="1"/>
  <c r="L8" i="1" s="1"/>
  <c r="K12" i="1"/>
  <c r="L12" i="1" s="1"/>
  <c r="K39" i="1"/>
  <c r="L39" i="1" s="1"/>
  <c r="K11" i="1"/>
  <c r="L11" i="1" s="1"/>
  <c r="K10" i="1"/>
  <c r="L10" i="1" s="1"/>
  <c r="K9" i="1"/>
  <c r="L9" i="1" s="1"/>
  <c r="K3" i="1"/>
  <c r="L3" i="1" s="1"/>
  <c r="K4" i="1"/>
  <c r="L4" i="1" s="1"/>
  <c r="K5" i="1"/>
  <c r="L5" i="1" s="1"/>
  <c r="K6" i="1"/>
  <c r="L6" i="1" s="1"/>
  <c r="K7" i="1"/>
  <c r="L7" i="1" s="1"/>
  <c r="K13" i="1"/>
  <c r="L13" i="1" s="1"/>
  <c r="K38" i="1"/>
  <c r="L38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" i="1"/>
  <c r="L2" i="1" s="1"/>
  <c r="I27" i="1"/>
  <c r="L27" i="1" l="1"/>
  <c r="I28" i="1" s="1"/>
</calcChain>
</file>

<file path=xl/sharedStrings.xml><?xml version="1.0" encoding="utf-8"?>
<sst xmlns="http://schemas.openxmlformats.org/spreadsheetml/2006/main" count="220" uniqueCount="157">
  <si>
    <t>Category</t>
  </si>
  <si>
    <t>Item</t>
  </si>
  <si>
    <t>Supplier</t>
  </si>
  <si>
    <t>Supplier SKU</t>
  </si>
  <si>
    <t>Manufacturer</t>
  </si>
  <si>
    <t>MPN</t>
  </si>
  <si>
    <t>Direct Product URL</t>
  </si>
  <si>
    <t>Status</t>
  </si>
  <si>
    <t>Lead/Risk Notes</t>
  </si>
  <si>
    <t>Compute</t>
  </si>
  <si>
    <t>Microcontroller board (BLE-first)</t>
  </si>
  <si>
    <t>Adafruit</t>
  </si>
  <si>
    <t>4062</t>
  </si>
  <si>
    <t>Adafruit Industries</t>
  </si>
  <si>
    <t>https://www.adafruit.com/product/4062</t>
  </si>
  <si>
    <t>Required</t>
  </si>
  <si>
    <t>4718</t>
  </si>
  <si>
    <t>Fujitsu</t>
  </si>
  <si>
    <t>MB85RS2MTA</t>
  </si>
  <si>
    <t>https://www.adafruit.com/product/4718</t>
  </si>
  <si>
    <t>Timekeeping</t>
  </si>
  <si>
    <t>Precision RTC breakout (I2C)</t>
  </si>
  <si>
    <t>3013</t>
  </si>
  <si>
    <t>Analog Devices / Maxim</t>
  </si>
  <si>
    <t>DS3231</t>
  </si>
  <si>
    <t>https://www.adafruit.com/product/3013</t>
  </si>
  <si>
    <t>Recommended</t>
  </si>
  <si>
    <t>Add CR1220 backup battery for time retention.</t>
  </si>
  <si>
    <t>Coin cell for RTC backup</t>
  </si>
  <si>
    <t>380</t>
  </si>
  <si>
    <t>Various (verified by Adafruit)</t>
  </si>
  <si>
    <t>CR1220</t>
  </si>
  <si>
    <t>https://www.adafruit.com/product/380</t>
  </si>
  <si>
    <t>Lithium shipping restrictions may apply.</t>
  </si>
  <si>
    <t>Sensing</t>
  </si>
  <si>
    <t>381</t>
  </si>
  <si>
    <t>Maxim / Analog Devices</t>
  </si>
  <si>
    <t>DS18B20</t>
  </si>
  <si>
    <t>https://www.adafruit.com/product/381</t>
  </si>
  <si>
    <t>Power</t>
  </si>
  <si>
    <t>Power (Indoor)</t>
  </si>
  <si>
    <t>4410</t>
  </si>
  <si>
    <t>https://www.adafruit.com/product/4410</t>
  </si>
  <si>
    <t>Enclosure</t>
  </si>
  <si>
    <t>Sized for 0.118"–0.169" cable diameter.</t>
  </si>
  <si>
    <t>Wiring</t>
  </si>
  <si>
    <t>https://www.adafruit.com/product/6181</t>
  </si>
  <si>
    <t>Flexible in cold; good for internal harnessing.</t>
  </si>
  <si>
    <t>Prototyping</t>
  </si>
  <si>
    <t>Consumables</t>
  </si>
  <si>
    <t>Multi-colored heat shrink pack</t>
  </si>
  <si>
    <t>1649</t>
  </si>
  <si>
    <t>https://www.adafruit.com/product/1649</t>
  </si>
  <si>
    <t>Strain relief + labeling.</t>
  </si>
  <si>
    <t>Mouser</t>
  </si>
  <si>
    <t>Littelfuse</t>
  </si>
  <si>
    <t>ATO blade fuse, 2A</t>
  </si>
  <si>
    <t>576-0ATO002.V</t>
  </si>
  <si>
    <t>0ATO002.V</t>
  </si>
  <si>
    <t>https://www.mouser.com/ProductDetail/Littelfuse/0ATO002.V</t>
  </si>
  <si>
    <t>Outdoor Cat Shelter Monitoring – Locked Decisions</t>
  </si>
  <si>
    <t>Temperature probes: use Adafruit DS18B20 waterproof probes; pull-up resistor included (no separate resistor purchase needed).</t>
  </si>
  <si>
    <t>• Charging indoors only; no charging circuitry in field unit.</t>
  </si>
  <si>
    <t>• Field operation uses swappable battery packs.</t>
  </si>
  <si>
    <t>• Battery: 1S2P using 18650 cells (3.0–4.2 V system).</t>
  </si>
  <si>
    <t>• USB-C is retained only for programming/debugging (not charging).</t>
  </si>
  <si>
    <t>• NOTE: Selected Feather nRF52840 uses Micro-USB for programming; functionally equivalent to USB-C for this project.</t>
  </si>
  <si>
    <t>Communications / Data Offload</t>
  </si>
  <si>
    <t>• BLE offload to a phone is required from day one; app should download only new records since last offload.</t>
  </si>
  <si>
    <t>Sensors / Connectors</t>
  </si>
  <si>
    <t>• Waterproof temperature sensing required.</t>
  </si>
  <si>
    <t>• DS18B20 waterproof probe acceptable.</t>
  </si>
  <si>
    <t>• Connector requirement dropped; direct wiring is fine.</t>
  </si>
  <si>
    <t>• Components tolerate Northeast US climate; sheltered from direct weather.</t>
  </si>
  <si>
    <t>Suppliers / BOM Rules</t>
  </si>
  <si>
    <t>• Prefer Adafruit first, Mouser second.</t>
  </si>
  <si>
    <t>• BOM must use direct product links to unique SKUs (no search/category links).</t>
  </si>
  <si>
    <t>• Include exact part numbers (MPNs), quantities, and flag long-lead/risk items.</t>
  </si>
  <si>
    <t>Sort</t>
  </si>
  <si>
    <t>Ext. Price</t>
  </si>
  <si>
    <t>UPS Ground</t>
  </si>
  <si>
    <t>Shipping UPS Ground</t>
  </si>
  <si>
    <t>UPS</t>
  </si>
  <si>
    <t>Shipping</t>
  </si>
  <si>
    <t>Data Storage</t>
  </si>
  <si>
    <t>AMG8833 IR Thermal Camera</t>
  </si>
  <si>
    <t>Power (Outdoor)</t>
  </si>
  <si>
    <t>Circuit Board Enclosure</t>
  </si>
  <si>
    <t>3D Printer</t>
  </si>
  <si>
    <t>Charger Station Enclosure</t>
  </si>
  <si>
    <t>Field Battery Enclosure</t>
  </si>
  <si>
    <t>Infrared Camera Enclosure</t>
  </si>
  <si>
    <t>Litium-Ion BMS Protection Board</t>
  </si>
  <si>
    <t>eBay</t>
  </si>
  <si>
    <t>ovo-trend-seller</t>
  </si>
  <si>
    <t>Mini Rocker Switch</t>
  </si>
  <si>
    <t>KG-15mm-HX15cm-2P-Hei-5</t>
  </si>
  <si>
    <t>YuanXing</t>
  </si>
  <si>
    <t>5Pcs Mini round Rocker Switch 15Mm on off Latching Toggle Switch SPST 2Pin 6A 12 | eBay</t>
  </si>
  <si>
    <t>Need Qty</t>
  </si>
  <si>
    <t>Amazon</t>
  </si>
  <si>
    <t>Break-Away Male Header Strip</t>
  </si>
  <si>
    <t>18650 Lithium-Ion Battery Holder</t>
  </si>
  <si>
    <t>16P16-2.54-30</t>
  </si>
  <si>
    <t>Antrader</t>
  </si>
  <si>
    <t>B07GP3TLH9</t>
  </si>
  <si>
    <t>https://www.amazon.com/dp/B07GP3TLH9?ref=ppx_yo2ov_dt_b_fed_asin_title&amp;th=1</t>
  </si>
  <si>
    <t>Aobao</t>
  </si>
  <si>
    <t>https://www.amazon.com/dp/B09LC681XX?ref=ppx_yo2ov_dt_b_fed_asin_title</t>
  </si>
  <si>
    <t>18650 Lithium-Ion Battery</t>
  </si>
  <si>
    <t>Recovered from Ryobi 40v, 6amp Battery Pack.</t>
  </si>
  <si>
    <t>AB- Battery Holder</t>
  </si>
  <si>
    <t>B09LC681XX</t>
  </si>
  <si>
    <t>PG-7 Cable Glands</t>
  </si>
  <si>
    <t>https://www.ebay.com/itm/222447428743</t>
  </si>
  <si>
    <t>225FWY</t>
  </si>
  <si>
    <t>Total for 1st Board</t>
  </si>
  <si>
    <t>BLE required; Micro-USB for programming.</t>
  </si>
  <si>
    <t>Spare fuses recommended.</t>
  </si>
  <si>
    <t>Non-volatile memory (SPI FRAM 256KB)</t>
  </si>
  <si>
    <t>Waterproof temperature probe (DS18B20)</t>
  </si>
  <si>
    <t>USB-C LiIon/LiPoly charger (desk charger)</t>
  </si>
  <si>
    <t>Used indoors only.</t>
  </si>
  <si>
    <t>22 AWG Silicone Wire - 20ft (Black &amp; Red)</t>
  </si>
  <si>
    <t>https://www.ebay.com/itm/198037457213</t>
  </si>
  <si>
    <t>2.54mm 16 Pin Single Row PBC Female Pin Header.</t>
  </si>
  <si>
    <t>256KB FRAM provides weeks of logs.</t>
  </si>
  <si>
    <t>Waterproof probe; Includes 4.7k pull-up resistor.</t>
  </si>
  <si>
    <t>3W, 3.5MM PITCH TERM-BLOCK, SIDE</t>
  </si>
  <si>
    <t>PTC RESET FUSE 30V 1.1A RADIAL</t>
  </si>
  <si>
    <t>Circuit Board</t>
  </si>
  <si>
    <t>DigiKey</t>
  </si>
  <si>
    <t>261‎</t>
  </si>
  <si>
    <t>‎TBD05-03-1-G-G‎</t>
  </si>
  <si>
    <t>‎TAD05-03-1-L-G‎</t>
  </si>
  <si>
    <t>RUEF110‎</t>
  </si>
  <si>
    <t>‎1528-261-ND‎</t>
  </si>
  <si>
    <t>‎2073-TAD05-03-1-L-G-ND‎</t>
  </si>
  <si>
    <t>‎RUEF110HF-ND‎</t>
  </si>
  <si>
    <t>Buy Qty</t>
  </si>
  <si>
    <t>Buy Price</t>
  </si>
  <si>
    <t>Per Unit</t>
  </si>
  <si>
    <t>CABLE ASSY JST PH 2 PIN 4"</t>
  </si>
  <si>
    <t>3W, 3.5MM PITCH TERM-BLOCK, ANGLED</t>
  </si>
  <si>
    <t>Custom Circuit Board v2.0 (Add Camera)</t>
  </si>
  <si>
    <t>OSH Park</t>
  </si>
  <si>
    <t>https://oshpark.com/orders/KNqJMJn5</t>
  </si>
  <si>
    <t>Custom Circuit Board v1.0 (Protoype)</t>
  </si>
  <si>
    <t>https://www.digikey.com/en/products/detail/adafruit-industries-llc/261/5353586?_gl=1*1lf5yl6*_up*MQ..&amp;gclid=884f75533383158a28721cd4a822c444&amp;gclsrc=3p.ds</t>
  </si>
  <si>
    <t>https://www.digikey.com/en/products/detail/gct/TBD05-03-1-G-G/26408887?_gl=1*hqzd1z*_up*MQ..&amp;gclid=884f75533383158a28721cd4a822c444&amp;gclsrc=3p.ds</t>
  </si>
  <si>
    <t>GCT</t>
  </si>
  <si>
    <t>2073-TBD05-03-1-G-G-ND</t>
  </si>
  <si>
    <t>Littelfuse Inc.</t>
  </si>
  <si>
    <t>KNqJMJn5</t>
  </si>
  <si>
    <t>aE27EfQZ</t>
  </si>
  <si>
    <t>Total Amount Spent</t>
  </si>
  <si>
    <t>Amount in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</si>
</sst>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8AFAA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4" fontId="3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4" fillId="0" borderId="1" xfId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1"/>
    <xf numFmtId="0" fontId="0" fillId="2" borderId="1" xfId="0" applyFill="1" applyBorder="1" applyAlignment="1">
      <alignment horizontal="center" vertical="top"/>
    </xf>
    <xf numFmtId="164" fontId="0" fillId="2" borderId="1" xfId="0" applyNumberForma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164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vertical="top"/>
    </xf>
    <xf numFmtId="164" fontId="3" fillId="0" borderId="0" xfId="0" applyNumberFormat="1" applyFont="1" applyBorder="1" applyAlignment="1">
      <alignment vertical="top"/>
    </xf>
    <xf numFmtId="164" fontId="3" fillId="2" borderId="1" xfId="0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164" fontId="3" fillId="4" borderId="2" xfId="0" applyNumberFormat="1" applyFont="1" applyFill="1" applyBorder="1" applyAlignment="1">
      <alignment vertical="top"/>
    </xf>
    <xf numFmtId="0" fontId="3" fillId="0" borderId="0" xfId="0" applyFont="1" applyAlignment="1">
      <alignment horizontal="right" vertical="top"/>
    </xf>
    <xf numFmtId="164" fontId="3" fillId="5" borderId="1" xfId="0" applyNumberFormat="1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8AFAA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Littelfuse/0ATO002.V" TargetMode="External"/><Relationship Id="rId13" Type="http://schemas.openxmlformats.org/officeDocument/2006/relationships/hyperlink" Target="https://www.ebay.com/itm/222447428743" TargetMode="External"/><Relationship Id="rId18" Type="http://schemas.openxmlformats.org/officeDocument/2006/relationships/hyperlink" Target="https://www.digikey.com/en/products/detail/gct/TBD05-03-1-G-G/26408887?_gl=1*hqzd1z*_up*MQ..&amp;gclid=884f75533383158a28721cd4a822c444&amp;gclsrc=3p.ds" TargetMode="External"/><Relationship Id="rId3" Type="http://schemas.openxmlformats.org/officeDocument/2006/relationships/hyperlink" Target="https://www.adafruit.com/product/380" TargetMode="External"/><Relationship Id="rId7" Type="http://schemas.openxmlformats.org/officeDocument/2006/relationships/hyperlink" Target="https://www.adafruit.com/product/4718" TargetMode="External"/><Relationship Id="rId12" Type="http://schemas.openxmlformats.org/officeDocument/2006/relationships/hyperlink" Target="https://www.amazon.com/dp/B09LC681XX?ref=ppx_yo2ov_dt_b_fed_asin_title" TargetMode="External"/><Relationship Id="rId17" Type="http://schemas.openxmlformats.org/officeDocument/2006/relationships/hyperlink" Target="https://www.digikey.com/en/products/detail/adafruit-industries-llc/261/5353586?_gl=1*1lf5yl6*_up*MQ..&amp;gclid=884f75533383158a28721cd4a822c444&amp;gclsrc=3p.ds" TargetMode="External"/><Relationship Id="rId2" Type="http://schemas.openxmlformats.org/officeDocument/2006/relationships/hyperlink" Target="https://www.adafruit.com/product/3013" TargetMode="External"/><Relationship Id="rId16" Type="http://schemas.openxmlformats.org/officeDocument/2006/relationships/hyperlink" Target="https://oshpark.com/orders/KNqJMJn5" TargetMode="External"/><Relationship Id="rId1" Type="http://schemas.openxmlformats.org/officeDocument/2006/relationships/hyperlink" Target="https://www.adafruit.com/product/4062" TargetMode="External"/><Relationship Id="rId6" Type="http://schemas.openxmlformats.org/officeDocument/2006/relationships/hyperlink" Target="https://www.adafruit.com/product/6181" TargetMode="External"/><Relationship Id="rId11" Type="http://schemas.openxmlformats.org/officeDocument/2006/relationships/hyperlink" Target="https://www.amazon.com/dp/B07GP3TLH9?ref=ppx_yo2ov_dt_b_fed_asin_title&amp;th=1" TargetMode="External"/><Relationship Id="rId5" Type="http://schemas.openxmlformats.org/officeDocument/2006/relationships/hyperlink" Target="https://www.adafruit.com/product/4410" TargetMode="External"/><Relationship Id="rId15" Type="http://schemas.openxmlformats.org/officeDocument/2006/relationships/hyperlink" Target="https://oshpark.com/orders/KNqJMJn5" TargetMode="External"/><Relationship Id="rId10" Type="http://schemas.openxmlformats.org/officeDocument/2006/relationships/hyperlink" Target="https://www.ebay.com/itm/226886814060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dafruit.com/product/381" TargetMode="External"/><Relationship Id="rId9" Type="http://schemas.openxmlformats.org/officeDocument/2006/relationships/hyperlink" Target="https://www.adafruit.com/product/1649" TargetMode="External"/><Relationship Id="rId14" Type="http://schemas.openxmlformats.org/officeDocument/2006/relationships/hyperlink" Target="https://www.ebay.com/itm/198037457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Normal="100" workbookViewId="0"/>
  </sheetViews>
  <sheetFormatPr defaultRowHeight="15" x14ac:dyDescent="0.25"/>
  <cols>
    <col min="1" max="1" width="4.5703125" style="6" bestFit="1" customWidth="1"/>
    <col min="2" max="2" width="39" style="2" bestFit="1" customWidth="1"/>
    <col min="3" max="3" width="16.140625" style="4" bestFit="1" customWidth="1"/>
    <col min="4" max="4" width="9.85546875" style="7" bestFit="1" customWidth="1"/>
    <col min="5" max="5" width="16.28515625" style="7" customWidth="1"/>
    <col min="6" max="6" width="18" style="4" customWidth="1"/>
    <col min="7" max="7" width="17.7109375" style="7" bestFit="1" customWidth="1"/>
    <col min="8" max="8" width="7.85546875" style="7" bestFit="1" customWidth="1"/>
    <col min="9" max="9" width="9.140625" style="9" bestFit="1" customWidth="1"/>
    <col min="10" max="10" width="9.42578125" style="7" bestFit="1" customWidth="1"/>
    <col min="11" max="11" width="8.28515625" style="9" bestFit="1" customWidth="1"/>
    <col min="12" max="12" width="9.140625" style="9" bestFit="1" customWidth="1"/>
    <col min="13" max="13" width="106.140625" style="4" customWidth="1"/>
    <col min="14" max="14" width="14.5703125" style="4" bestFit="1" customWidth="1"/>
    <col min="15" max="15" width="47.140625" style="2" customWidth="1"/>
    <col min="16" max="16384" width="9.140625" style="4"/>
  </cols>
  <sheetData>
    <row r="1" spans="1:15" s="6" customFormat="1" x14ac:dyDescent="0.25">
      <c r="A1" s="10" t="s">
        <v>78</v>
      </c>
      <c r="B1" s="16" t="s">
        <v>1</v>
      </c>
      <c r="C1" s="10" t="s">
        <v>0</v>
      </c>
      <c r="D1" s="10" t="s">
        <v>2</v>
      </c>
      <c r="E1" s="10" t="s">
        <v>3</v>
      </c>
      <c r="F1" s="10" t="s">
        <v>4</v>
      </c>
      <c r="G1" s="10" t="s">
        <v>5</v>
      </c>
      <c r="H1" s="20" t="s">
        <v>139</v>
      </c>
      <c r="I1" s="21" t="s">
        <v>140</v>
      </c>
      <c r="J1" s="24" t="s">
        <v>99</v>
      </c>
      <c r="K1" s="23" t="s">
        <v>141</v>
      </c>
      <c r="L1" s="23" t="s">
        <v>79</v>
      </c>
      <c r="M1" s="10" t="s">
        <v>6</v>
      </c>
      <c r="N1" s="10" t="s">
        <v>7</v>
      </c>
      <c r="O1" s="16" t="s">
        <v>8</v>
      </c>
    </row>
    <row r="2" spans="1:15" x14ac:dyDescent="0.25">
      <c r="A2" s="10">
        <v>1</v>
      </c>
      <c r="B2" s="15" t="s">
        <v>10</v>
      </c>
      <c r="C2" s="12" t="s">
        <v>9</v>
      </c>
      <c r="D2" s="13" t="s">
        <v>11</v>
      </c>
      <c r="E2" s="13" t="s">
        <v>12</v>
      </c>
      <c r="F2" s="12" t="s">
        <v>13</v>
      </c>
      <c r="G2" s="13" t="s">
        <v>12</v>
      </c>
      <c r="H2" s="18">
        <v>1</v>
      </c>
      <c r="I2" s="19">
        <v>24.95</v>
      </c>
      <c r="J2" s="26">
        <v>1</v>
      </c>
      <c r="K2" s="25">
        <f t="shared" ref="K2:K25" si="0">I2/H2</f>
        <v>24.95</v>
      </c>
      <c r="L2" s="25">
        <f t="shared" ref="L2:L25" si="1">J2*K2</f>
        <v>24.95</v>
      </c>
      <c r="M2" s="14" t="s">
        <v>14</v>
      </c>
      <c r="N2" s="12" t="s">
        <v>15</v>
      </c>
      <c r="O2" s="15" t="s">
        <v>117</v>
      </c>
    </row>
    <row r="3" spans="1:15" x14ac:dyDescent="0.25">
      <c r="A3" s="10">
        <v>2</v>
      </c>
      <c r="B3" s="15" t="s">
        <v>119</v>
      </c>
      <c r="C3" s="12" t="s">
        <v>84</v>
      </c>
      <c r="D3" s="13" t="s">
        <v>11</v>
      </c>
      <c r="E3" s="13" t="s">
        <v>16</v>
      </c>
      <c r="F3" s="12" t="s">
        <v>17</v>
      </c>
      <c r="G3" s="13" t="s">
        <v>18</v>
      </c>
      <c r="H3" s="18">
        <v>1</v>
      </c>
      <c r="I3" s="19">
        <v>12.95</v>
      </c>
      <c r="J3" s="26">
        <v>1</v>
      </c>
      <c r="K3" s="25">
        <f t="shared" si="0"/>
        <v>12.95</v>
      </c>
      <c r="L3" s="25">
        <f t="shared" si="1"/>
        <v>12.95</v>
      </c>
      <c r="M3" s="14" t="s">
        <v>19</v>
      </c>
      <c r="N3" s="12" t="s">
        <v>26</v>
      </c>
      <c r="O3" s="15" t="s">
        <v>126</v>
      </c>
    </row>
    <row r="4" spans="1:15" x14ac:dyDescent="0.25">
      <c r="A4" s="10">
        <v>3</v>
      </c>
      <c r="B4" s="15" t="s">
        <v>21</v>
      </c>
      <c r="C4" s="12" t="s">
        <v>20</v>
      </c>
      <c r="D4" s="13" t="s">
        <v>11</v>
      </c>
      <c r="E4" s="13" t="s">
        <v>22</v>
      </c>
      <c r="F4" s="12" t="s">
        <v>23</v>
      </c>
      <c r="G4" s="13" t="s">
        <v>24</v>
      </c>
      <c r="H4" s="18">
        <v>1</v>
      </c>
      <c r="I4" s="19">
        <v>17.5</v>
      </c>
      <c r="J4" s="26">
        <v>1</v>
      </c>
      <c r="K4" s="25">
        <f t="shared" si="0"/>
        <v>17.5</v>
      </c>
      <c r="L4" s="25">
        <f t="shared" si="1"/>
        <v>17.5</v>
      </c>
      <c r="M4" s="14" t="s">
        <v>25</v>
      </c>
      <c r="N4" s="12" t="s">
        <v>26</v>
      </c>
      <c r="O4" s="15" t="s">
        <v>27</v>
      </c>
    </row>
    <row r="5" spans="1:15" x14ac:dyDescent="0.25">
      <c r="A5" s="10">
        <v>4</v>
      </c>
      <c r="B5" s="15" t="s">
        <v>28</v>
      </c>
      <c r="C5" s="12" t="s">
        <v>20</v>
      </c>
      <c r="D5" s="13" t="s">
        <v>11</v>
      </c>
      <c r="E5" s="13" t="s">
        <v>29</v>
      </c>
      <c r="F5" s="12" t="s">
        <v>30</v>
      </c>
      <c r="G5" s="13" t="s">
        <v>31</v>
      </c>
      <c r="H5" s="18">
        <v>1</v>
      </c>
      <c r="I5" s="19">
        <v>0.95</v>
      </c>
      <c r="J5" s="26">
        <v>1</v>
      </c>
      <c r="K5" s="25">
        <f t="shared" si="0"/>
        <v>0.95</v>
      </c>
      <c r="L5" s="25">
        <f t="shared" si="1"/>
        <v>0.95</v>
      </c>
      <c r="M5" s="14" t="s">
        <v>32</v>
      </c>
      <c r="N5" s="12" t="s">
        <v>26</v>
      </c>
      <c r="O5" s="15" t="s">
        <v>33</v>
      </c>
    </row>
    <row r="6" spans="1:15" x14ac:dyDescent="0.25">
      <c r="A6" s="10">
        <v>5</v>
      </c>
      <c r="B6" s="15" t="s">
        <v>120</v>
      </c>
      <c r="C6" s="12" t="s">
        <v>34</v>
      </c>
      <c r="D6" s="13" t="s">
        <v>11</v>
      </c>
      <c r="E6" s="13" t="s">
        <v>35</v>
      </c>
      <c r="F6" s="12" t="s">
        <v>36</v>
      </c>
      <c r="G6" s="13" t="s">
        <v>37</v>
      </c>
      <c r="H6" s="18">
        <v>1</v>
      </c>
      <c r="I6" s="19">
        <v>9.9499999999999993</v>
      </c>
      <c r="J6" s="26">
        <v>2</v>
      </c>
      <c r="K6" s="25">
        <f t="shared" si="0"/>
        <v>9.9499999999999993</v>
      </c>
      <c r="L6" s="25">
        <f t="shared" si="1"/>
        <v>19.899999999999999</v>
      </c>
      <c r="M6" s="14" t="s">
        <v>38</v>
      </c>
      <c r="N6" s="12" t="s">
        <v>15</v>
      </c>
      <c r="O6" s="15" t="s">
        <v>127</v>
      </c>
    </row>
    <row r="7" spans="1:15" x14ac:dyDescent="0.25">
      <c r="A7" s="10">
        <v>6</v>
      </c>
      <c r="B7" s="15" t="s">
        <v>85</v>
      </c>
      <c r="C7" s="12" t="s">
        <v>34</v>
      </c>
      <c r="D7" s="13" t="s">
        <v>11</v>
      </c>
      <c r="E7" s="13">
        <v>3538</v>
      </c>
      <c r="F7" s="12" t="s">
        <v>13</v>
      </c>
      <c r="G7" s="13">
        <v>3538</v>
      </c>
      <c r="H7" s="18">
        <v>1</v>
      </c>
      <c r="I7" s="19">
        <v>44.95</v>
      </c>
      <c r="J7" s="26">
        <v>1</v>
      </c>
      <c r="K7" s="25">
        <f t="shared" si="0"/>
        <v>44.95</v>
      </c>
      <c r="L7" s="25">
        <f t="shared" si="1"/>
        <v>44.95</v>
      </c>
      <c r="M7" s="14" t="s">
        <v>46</v>
      </c>
      <c r="N7" s="12" t="s">
        <v>15</v>
      </c>
      <c r="O7" s="15"/>
    </row>
    <row r="8" spans="1:15" x14ac:dyDescent="0.25">
      <c r="A8" s="10">
        <v>7</v>
      </c>
      <c r="B8" s="15" t="s">
        <v>147</v>
      </c>
      <c r="C8" s="12" t="s">
        <v>130</v>
      </c>
      <c r="D8" s="13" t="s">
        <v>145</v>
      </c>
      <c r="E8" s="13" t="s">
        <v>154</v>
      </c>
      <c r="F8" s="13" t="s">
        <v>145</v>
      </c>
      <c r="G8" s="13"/>
      <c r="H8" s="18">
        <v>3</v>
      </c>
      <c r="I8" s="19">
        <v>49.25</v>
      </c>
      <c r="J8" s="26">
        <v>1</v>
      </c>
      <c r="K8" s="25">
        <f t="shared" si="0"/>
        <v>16.416666666666668</v>
      </c>
      <c r="L8" s="25">
        <f t="shared" si="1"/>
        <v>16.416666666666668</v>
      </c>
      <c r="M8" s="14" t="s">
        <v>146</v>
      </c>
      <c r="N8" s="12" t="s">
        <v>15</v>
      </c>
      <c r="O8" s="15"/>
    </row>
    <row r="9" spans="1:15" x14ac:dyDescent="0.25">
      <c r="A9" s="10">
        <v>7</v>
      </c>
      <c r="B9" s="15" t="s">
        <v>144</v>
      </c>
      <c r="C9" s="12" t="s">
        <v>130</v>
      </c>
      <c r="D9" s="13" t="s">
        <v>145</v>
      </c>
      <c r="E9" s="13" t="s">
        <v>153</v>
      </c>
      <c r="F9" s="13" t="s">
        <v>145</v>
      </c>
      <c r="G9" s="13"/>
      <c r="H9" s="18">
        <v>3</v>
      </c>
      <c r="I9" s="19">
        <v>59.25</v>
      </c>
      <c r="J9" s="26">
        <v>0</v>
      </c>
      <c r="K9" s="25">
        <f t="shared" si="0"/>
        <v>19.75</v>
      </c>
      <c r="L9" s="25">
        <f t="shared" si="1"/>
        <v>0</v>
      </c>
      <c r="M9" s="14" t="s">
        <v>146</v>
      </c>
      <c r="N9" s="12" t="s">
        <v>15</v>
      </c>
      <c r="O9" s="15"/>
    </row>
    <row r="10" spans="1:15" x14ac:dyDescent="0.25">
      <c r="A10" s="10">
        <v>8</v>
      </c>
      <c r="B10" s="15" t="s">
        <v>142</v>
      </c>
      <c r="C10" s="12" t="s">
        <v>130</v>
      </c>
      <c r="D10" s="13" t="s">
        <v>131</v>
      </c>
      <c r="E10" s="13" t="s">
        <v>136</v>
      </c>
      <c r="F10" s="12" t="s">
        <v>13</v>
      </c>
      <c r="G10" s="13" t="s">
        <v>132</v>
      </c>
      <c r="H10" s="18">
        <v>2</v>
      </c>
      <c r="I10" s="19">
        <v>1.5</v>
      </c>
      <c r="J10" s="26">
        <v>2</v>
      </c>
      <c r="K10" s="25">
        <f t="shared" si="0"/>
        <v>0.75</v>
      </c>
      <c r="L10" s="25">
        <f t="shared" si="1"/>
        <v>1.5</v>
      </c>
      <c r="M10" s="14" t="s">
        <v>148</v>
      </c>
      <c r="N10" s="12" t="s">
        <v>15</v>
      </c>
      <c r="O10" s="15"/>
    </row>
    <row r="11" spans="1:15" x14ac:dyDescent="0.25">
      <c r="A11" s="10">
        <v>9</v>
      </c>
      <c r="B11" s="15" t="s">
        <v>143</v>
      </c>
      <c r="C11" s="12" t="s">
        <v>130</v>
      </c>
      <c r="D11" s="13" t="s">
        <v>131</v>
      </c>
      <c r="E11" s="13" t="s">
        <v>151</v>
      </c>
      <c r="F11" s="12" t="s">
        <v>150</v>
      </c>
      <c r="G11" s="13" t="s">
        <v>133</v>
      </c>
      <c r="H11" s="18">
        <v>10</v>
      </c>
      <c r="I11" s="19">
        <v>8.84</v>
      </c>
      <c r="J11" s="26">
        <v>2</v>
      </c>
      <c r="K11" s="25">
        <f t="shared" si="0"/>
        <v>0.88400000000000001</v>
      </c>
      <c r="L11" s="25">
        <f t="shared" si="1"/>
        <v>1.768</v>
      </c>
      <c r="M11" s="14" t="s">
        <v>149</v>
      </c>
      <c r="N11" s="12" t="s">
        <v>15</v>
      </c>
      <c r="O11" s="15"/>
    </row>
    <row r="12" spans="1:15" x14ac:dyDescent="0.25">
      <c r="A12" s="10">
        <v>10</v>
      </c>
      <c r="B12" s="15" t="s">
        <v>129</v>
      </c>
      <c r="C12" s="12" t="s">
        <v>130</v>
      </c>
      <c r="D12" s="13" t="s">
        <v>131</v>
      </c>
      <c r="E12" s="13" t="s">
        <v>138</v>
      </c>
      <c r="F12" s="15" t="s">
        <v>152</v>
      </c>
      <c r="G12" s="13" t="s">
        <v>135</v>
      </c>
      <c r="H12" s="18">
        <v>5</v>
      </c>
      <c r="I12" s="19">
        <v>2</v>
      </c>
      <c r="J12" s="26">
        <v>1</v>
      </c>
      <c r="K12" s="25">
        <f t="shared" si="0"/>
        <v>0.4</v>
      </c>
      <c r="L12" s="25">
        <f t="shared" si="1"/>
        <v>0.4</v>
      </c>
      <c r="M12" s="14"/>
      <c r="N12" s="12"/>
      <c r="O12" s="15"/>
    </row>
    <row r="13" spans="1:15" x14ac:dyDescent="0.25">
      <c r="A13" s="10">
        <v>11</v>
      </c>
      <c r="B13" s="15" t="s">
        <v>109</v>
      </c>
      <c r="C13" s="12" t="s">
        <v>39</v>
      </c>
      <c r="D13" s="13"/>
      <c r="E13" s="13"/>
      <c r="F13" s="12"/>
      <c r="G13" s="13"/>
      <c r="H13" s="18">
        <v>1</v>
      </c>
      <c r="I13" s="19">
        <v>0</v>
      </c>
      <c r="J13" s="26">
        <v>1</v>
      </c>
      <c r="K13" s="25">
        <f t="shared" si="0"/>
        <v>0</v>
      </c>
      <c r="L13" s="25">
        <f t="shared" si="1"/>
        <v>0</v>
      </c>
      <c r="M13" s="14"/>
      <c r="N13" s="12" t="s">
        <v>15</v>
      </c>
      <c r="O13" s="15" t="s">
        <v>110</v>
      </c>
    </row>
    <row r="14" spans="1:15" x14ac:dyDescent="0.25">
      <c r="A14" s="10">
        <v>12</v>
      </c>
      <c r="B14" s="15" t="s">
        <v>102</v>
      </c>
      <c r="C14" s="12" t="s">
        <v>86</v>
      </c>
      <c r="D14" s="13" t="s">
        <v>100</v>
      </c>
      <c r="E14" s="13" t="s">
        <v>112</v>
      </c>
      <c r="F14" s="15" t="s">
        <v>107</v>
      </c>
      <c r="G14" s="13" t="s">
        <v>111</v>
      </c>
      <c r="H14" s="18">
        <v>5</v>
      </c>
      <c r="I14" s="19">
        <v>10.79</v>
      </c>
      <c r="J14" s="26">
        <v>1</v>
      </c>
      <c r="K14" s="25">
        <f t="shared" si="0"/>
        <v>2.1579999999999999</v>
      </c>
      <c r="L14" s="25">
        <f t="shared" si="1"/>
        <v>2.1579999999999999</v>
      </c>
      <c r="M14" s="14" t="s">
        <v>108</v>
      </c>
      <c r="N14" s="12" t="s">
        <v>15</v>
      </c>
      <c r="O14" s="15"/>
    </row>
    <row r="15" spans="1:15" x14ac:dyDescent="0.25">
      <c r="A15" s="10">
        <v>13</v>
      </c>
      <c r="B15" s="15" t="s">
        <v>92</v>
      </c>
      <c r="C15" s="12" t="s">
        <v>86</v>
      </c>
      <c r="D15" s="13" t="s">
        <v>93</v>
      </c>
      <c r="E15" s="13"/>
      <c r="F15" s="15" t="s">
        <v>94</v>
      </c>
      <c r="G15" s="13"/>
      <c r="H15" s="18">
        <v>5</v>
      </c>
      <c r="I15" s="19">
        <v>14.34</v>
      </c>
      <c r="J15" s="26">
        <v>1</v>
      </c>
      <c r="K15" s="25">
        <f t="shared" si="0"/>
        <v>2.8679999999999999</v>
      </c>
      <c r="L15" s="25">
        <f t="shared" si="1"/>
        <v>2.8679999999999999</v>
      </c>
      <c r="M15" s="14" t="s">
        <v>94</v>
      </c>
      <c r="N15" s="12" t="s">
        <v>15</v>
      </c>
      <c r="O15" s="15"/>
    </row>
    <row r="16" spans="1:15" x14ac:dyDescent="0.25">
      <c r="A16" s="10">
        <v>14</v>
      </c>
      <c r="B16" s="15" t="s">
        <v>95</v>
      </c>
      <c r="C16" s="12" t="s">
        <v>86</v>
      </c>
      <c r="D16" s="13" t="s">
        <v>93</v>
      </c>
      <c r="E16" s="13" t="s">
        <v>96</v>
      </c>
      <c r="F16" s="12" t="s">
        <v>97</v>
      </c>
      <c r="G16" s="13"/>
      <c r="H16" s="18">
        <v>5</v>
      </c>
      <c r="I16" s="19">
        <v>11.61</v>
      </c>
      <c r="J16" s="26">
        <v>1</v>
      </c>
      <c r="K16" s="25">
        <f t="shared" si="0"/>
        <v>2.3220000000000001</v>
      </c>
      <c r="L16" s="25">
        <f t="shared" si="1"/>
        <v>2.3220000000000001</v>
      </c>
      <c r="M16" s="17" t="s">
        <v>98</v>
      </c>
      <c r="N16" s="12" t="s">
        <v>15</v>
      </c>
      <c r="O16" s="15"/>
    </row>
    <row r="17" spans="1:15" x14ac:dyDescent="0.25">
      <c r="A17" s="10">
        <v>15</v>
      </c>
      <c r="B17" s="15" t="s">
        <v>56</v>
      </c>
      <c r="C17" s="12" t="s">
        <v>86</v>
      </c>
      <c r="D17" s="13" t="s">
        <v>54</v>
      </c>
      <c r="E17" s="13" t="s">
        <v>57</v>
      </c>
      <c r="F17" s="12" t="s">
        <v>55</v>
      </c>
      <c r="G17" s="13" t="s">
        <v>58</v>
      </c>
      <c r="H17" s="18">
        <v>5</v>
      </c>
      <c r="I17" s="19">
        <v>1.24</v>
      </c>
      <c r="J17" s="26">
        <v>1</v>
      </c>
      <c r="K17" s="25">
        <f t="shared" si="0"/>
        <v>0.248</v>
      </c>
      <c r="L17" s="25">
        <f t="shared" si="1"/>
        <v>0.248</v>
      </c>
      <c r="M17" s="14" t="s">
        <v>59</v>
      </c>
      <c r="N17" s="12" t="s">
        <v>15</v>
      </c>
      <c r="O17" s="15" t="s">
        <v>118</v>
      </c>
    </row>
    <row r="18" spans="1:15" x14ac:dyDescent="0.25">
      <c r="A18" s="10">
        <v>16</v>
      </c>
      <c r="B18" s="15" t="s">
        <v>113</v>
      </c>
      <c r="C18" s="12" t="s">
        <v>43</v>
      </c>
      <c r="D18" s="13" t="s">
        <v>93</v>
      </c>
      <c r="E18" s="13" t="s">
        <v>115</v>
      </c>
      <c r="F18" s="12"/>
      <c r="G18" s="13"/>
      <c r="H18" s="18">
        <v>10</v>
      </c>
      <c r="I18" s="19">
        <v>11.87</v>
      </c>
      <c r="J18" s="26">
        <v>5</v>
      </c>
      <c r="K18" s="25">
        <f t="shared" si="0"/>
        <v>1.1869999999999998</v>
      </c>
      <c r="L18" s="25">
        <f t="shared" si="1"/>
        <v>5.9349999999999987</v>
      </c>
      <c r="M18" s="14" t="s">
        <v>114</v>
      </c>
      <c r="N18" s="12" t="s">
        <v>15</v>
      </c>
      <c r="O18" s="15" t="s">
        <v>44</v>
      </c>
    </row>
    <row r="19" spans="1:15" x14ac:dyDescent="0.25">
      <c r="A19" s="10">
        <v>17</v>
      </c>
      <c r="B19" s="15" t="s">
        <v>123</v>
      </c>
      <c r="C19" s="12" t="s">
        <v>45</v>
      </c>
      <c r="D19" s="13" t="s">
        <v>93</v>
      </c>
      <c r="E19" s="13"/>
      <c r="F19" s="12"/>
      <c r="G19" s="13"/>
      <c r="H19" s="18">
        <v>20</v>
      </c>
      <c r="I19" s="19">
        <v>9.2200000000000006</v>
      </c>
      <c r="J19" s="26">
        <v>10</v>
      </c>
      <c r="K19" s="25">
        <f t="shared" si="0"/>
        <v>0.46100000000000002</v>
      </c>
      <c r="L19" s="25">
        <f t="shared" si="1"/>
        <v>4.6100000000000003</v>
      </c>
      <c r="M19" s="14" t="s">
        <v>124</v>
      </c>
      <c r="N19" s="12" t="s">
        <v>15</v>
      </c>
      <c r="O19" s="15" t="s">
        <v>47</v>
      </c>
    </row>
    <row r="20" spans="1:15" x14ac:dyDescent="0.25">
      <c r="A20" s="10">
        <v>18</v>
      </c>
      <c r="B20" s="15" t="s">
        <v>101</v>
      </c>
      <c r="C20" s="12" t="s">
        <v>48</v>
      </c>
      <c r="D20" s="13" t="s">
        <v>100</v>
      </c>
      <c r="E20" s="13" t="s">
        <v>103</v>
      </c>
      <c r="F20" s="12" t="s">
        <v>104</v>
      </c>
      <c r="G20" s="13" t="s">
        <v>105</v>
      </c>
      <c r="H20" s="18">
        <v>30</v>
      </c>
      <c r="I20" s="19">
        <v>7.55</v>
      </c>
      <c r="J20" s="26">
        <v>4</v>
      </c>
      <c r="K20" s="25">
        <f t="shared" si="0"/>
        <v>0.25166666666666665</v>
      </c>
      <c r="L20" s="25">
        <f t="shared" si="1"/>
        <v>1.0066666666666666</v>
      </c>
      <c r="M20" s="14" t="s">
        <v>106</v>
      </c>
      <c r="N20" s="12" t="s">
        <v>15</v>
      </c>
      <c r="O20" s="15" t="s">
        <v>125</v>
      </c>
    </row>
    <row r="21" spans="1:15" x14ac:dyDescent="0.25">
      <c r="A21" s="10">
        <v>19</v>
      </c>
      <c r="B21" s="15" t="s">
        <v>87</v>
      </c>
      <c r="C21" s="12" t="s">
        <v>49</v>
      </c>
      <c r="D21" s="13" t="s">
        <v>88</v>
      </c>
      <c r="E21" s="13"/>
      <c r="F21" s="12"/>
      <c r="G21" s="13"/>
      <c r="H21" s="18">
        <v>3</v>
      </c>
      <c r="I21" s="19">
        <v>3</v>
      </c>
      <c r="J21" s="26">
        <v>1</v>
      </c>
      <c r="K21" s="25">
        <f t="shared" si="0"/>
        <v>1</v>
      </c>
      <c r="L21" s="25">
        <f t="shared" si="1"/>
        <v>1</v>
      </c>
      <c r="M21" s="14"/>
      <c r="N21" s="12"/>
      <c r="O21" s="15"/>
    </row>
    <row r="22" spans="1:15" x14ac:dyDescent="0.25">
      <c r="A22" s="10">
        <v>20</v>
      </c>
      <c r="B22" s="15" t="s">
        <v>89</v>
      </c>
      <c r="C22" s="12" t="s">
        <v>49</v>
      </c>
      <c r="D22" s="13" t="s">
        <v>88</v>
      </c>
      <c r="E22" s="13"/>
      <c r="F22" s="12"/>
      <c r="G22" s="13"/>
      <c r="H22" s="18">
        <v>3</v>
      </c>
      <c r="I22" s="19">
        <v>3</v>
      </c>
      <c r="J22" s="26">
        <v>1</v>
      </c>
      <c r="K22" s="25">
        <f t="shared" si="0"/>
        <v>1</v>
      </c>
      <c r="L22" s="25">
        <f t="shared" si="1"/>
        <v>1</v>
      </c>
      <c r="M22" s="14"/>
      <c r="N22" s="12"/>
      <c r="O22" s="15"/>
    </row>
    <row r="23" spans="1:15" x14ac:dyDescent="0.25">
      <c r="A23" s="10">
        <v>21</v>
      </c>
      <c r="B23" s="15" t="s">
        <v>90</v>
      </c>
      <c r="C23" s="12" t="s">
        <v>49</v>
      </c>
      <c r="D23" s="13" t="s">
        <v>88</v>
      </c>
      <c r="E23" s="13"/>
      <c r="F23" s="12"/>
      <c r="G23" s="13"/>
      <c r="H23" s="18">
        <v>3</v>
      </c>
      <c r="I23" s="19">
        <v>3</v>
      </c>
      <c r="J23" s="26">
        <v>1</v>
      </c>
      <c r="K23" s="25">
        <f t="shared" si="0"/>
        <v>1</v>
      </c>
      <c r="L23" s="25">
        <f t="shared" si="1"/>
        <v>1</v>
      </c>
      <c r="M23" s="14"/>
      <c r="N23" s="12"/>
      <c r="O23" s="15"/>
    </row>
    <row r="24" spans="1:15" x14ac:dyDescent="0.25">
      <c r="A24" s="10">
        <v>22</v>
      </c>
      <c r="B24" s="15" t="s">
        <v>91</v>
      </c>
      <c r="C24" s="12" t="s">
        <v>49</v>
      </c>
      <c r="D24" s="13" t="s">
        <v>88</v>
      </c>
      <c r="E24" s="13"/>
      <c r="F24" s="12"/>
      <c r="G24" s="13"/>
      <c r="H24" s="18">
        <v>1</v>
      </c>
      <c r="I24" s="19">
        <v>1</v>
      </c>
      <c r="J24" s="26">
        <v>1</v>
      </c>
      <c r="K24" s="25">
        <f t="shared" si="0"/>
        <v>1</v>
      </c>
      <c r="L24" s="25">
        <f t="shared" si="1"/>
        <v>1</v>
      </c>
      <c r="M24" s="14"/>
      <c r="N24" s="12"/>
      <c r="O24" s="15"/>
    </row>
    <row r="25" spans="1:15" x14ac:dyDescent="0.25">
      <c r="A25" s="10">
        <v>23</v>
      </c>
      <c r="B25" s="15" t="s">
        <v>50</v>
      </c>
      <c r="C25" s="12" t="s">
        <v>49</v>
      </c>
      <c r="D25" s="13" t="s">
        <v>11</v>
      </c>
      <c r="E25" s="13" t="s">
        <v>51</v>
      </c>
      <c r="F25" s="12" t="s">
        <v>13</v>
      </c>
      <c r="G25" s="13" t="s">
        <v>51</v>
      </c>
      <c r="H25" s="18">
        <v>1</v>
      </c>
      <c r="I25" s="19">
        <v>4.95</v>
      </c>
      <c r="J25" s="26">
        <v>1</v>
      </c>
      <c r="K25" s="25">
        <f t="shared" si="0"/>
        <v>4.95</v>
      </c>
      <c r="L25" s="25">
        <f t="shared" si="1"/>
        <v>4.95</v>
      </c>
      <c r="M25" s="14" t="s">
        <v>52</v>
      </c>
      <c r="N25" s="12" t="s">
        <v>26</v>
      </c>
      <c r="O25" s="15" t="s">
        <v>53</v>
      </c>
    </row>
    <row r="26" spans="1:15" x14ac:dyDescent="0.25">
      <c r="A26" s="10">
        <v>24</v>
      </c>
      <c r="B26" s="11" t="s">
        <v>80</v>
      </c>
      <c r="C26" s="11" t="s">
        <v>83</v>
      </c>
      <c r="D26" s="13" t="s">
        <v>82</v>
      </c>
      <c r="E26" s="13"/>
      <c r="F26" s="12"/>
      <c r="G26" s="13"/>
      <c r="H26" s="18"/>
      <c r="I26" s="29">
        <v>35</v>
      </c>
      <c r="J26" s="26"/>
      <c r="K26" s="25"/>
      <c r="L26" s="27">
        <v>25</v>
      </c>
      <c r="M26" s="11" t="s">
        <v>81</v>
      </c>
      <c r="N26" s="12" t="s">
        <v>15</v>
      </c>
      <c r="O26" s="15"/>
    </row>
    <row r="27" spans="1:15" x14ac:dyDescent="0.25">
      <c r="H27" s="32" t="s">
        <v>155</v>
      </c>
      <c r="I27" s="22">
        <f>SUM(I2:I26)</f>
        <v>348.66</v>
      </c>
      <c r="K27" s="28"/>
      <c r="L27" s="31">
        <f>SUM(L2:L26)</f>
        <v>194.38233333333332</v>
      </c>
      <c r="M27" s="30" t="s">
        <v>116</v>
      </c>
    </row>
    <row r="28" spans="1:15" x14ac:dyDescent="0.25">
      <c r="H28" s="32" t="s">
        <v>156</v>
      </c>
      <c r="I28" s="33">
        <f>I27-L27</f>
        <v>154.2776666666667</v>
      </c>
      <c r="L28" s="8"/>
      <c r="M28" s="5"/>
    </row>
    <row r="30" spans="1:15" x14ac:dyDescent="0.25">
      <c r="M30" s="9"/>
    </row>
    <row r="31" spans="1:15" x14ac:dyDescent="0.25">
      <c r="M31" s="9"/>
    </row>
    <row r="32" spans="1:15" x14ac:dyDescent="0.25">
      <c r="M32" s="9"/>
    </row>
    <row r="33" spans="1:15" x14ac:dyDescent="0.25">
      <c r="M33" s="9"/>
    </row>
    <row r="34" spans="1:15" x14ac:dyDescent="0.25">
      <c r="M34" s="9"/>
    </row>
    <row r="35" spans="1:15" x14ac:dyDescent="0.25">
      <c r="M35" s="9"/>
    </row>
    <row r="37" spans="1:15" x14ac:dyDescent="0.25">
      <c r="M37" s="9"/>
    </row>
    <row r="38" spans="1:15" x14ac:dyDescent="0.25">
      <c r="A38" s="10">
        <v>8</v>
      </c>
      <c r="B38" s="15" t="s">
        <v>121</v>
      </c>
      <c r="C38" s="12" t="s">
        <v>40</v>
      </c>
      <c r="D38" s="13" t="s">
        <v>11</v>
      </c>
      <c r="E38" s="13" t="s">
        <v>41</v>
      </c>
      <c r="F38" s="12" t="s">
        <v>13</v>
      </c>
      <c r="G38" s="13" t="s">
        <v>41</v>
      </c>
      <c r="H38" s="18">
        <v>5</v>
      </c>
      <c r="I38" s="19">
        <v>5.95</v>
      </c>
      <c r="J38" s="26">
        <v>0</v>
      </c>
      <c r="K38" s="25">
        <f>I38/H38</f>
        <v>1.19</v>
      </c>
      <c r="L38" s="25">
        <f>J38*K38</f>
        <v>0</v>
      </c>
      <c r="M38" s="14" t="s">
        <v>42</v>
      </c>
      <c r="N38" s="12" t="s">
        <v>15</v>
      </c>
      <c r="O38" s="15" t="s">
        <v>122</v>
      </c>
    </row>
    <row r="39" spans="1:15" x14ac:dyDescent="0.25">
      <c r="A39" s="10"/>
      <c r="B39" s="15" t="s">
        <v>128</v>
      </c>
      <c r="C39" s="12" t="s">
        <v>130</v>
      </c>
      <c r="D39" s="13" t="s">
        <v>131</v>
      </c>
      <c r="E39" s="13" t="s">
        <v>137</v>
      </c>
      <c r="F39" s="12"/>
      <c r="G39" s="13" t="s">
        <v>134</v>
      </c>
      <c r="H39" s="18">
        <v>1</v>
      </c>
      <c r="I39" s="19">
        <v>0.43099999999999999</v>
      </c>
      <c r="J39" s="26">
        <v>0</v>
      </c>
      <c r="K39" s="25">
        <f>I39/H39</f>
        <v>0.43099999999999999</v>
      </c>
      <c r="L39" s="25">
        <f>J39*K39</f>
        <v>0</v>
      </c>
      <c r="M39" s="14"/>
      <c r="N39" s="12"/>
      <c r="O39" s="15"/>
    </row>
    <row r="40" spans="1:15" x14ac:dyDescent="0.25">
      <c r="A40" s="4"/>
      <c r="B40" s="4"/>
      <c r="D40" s="4"/>
      <c r="E40" s="4"/>
      <c r="G40" s="4"/>
      <c r="H40" s="4"/>
      <c r="I40" s="4"/>
      <c r="J40" s="4"/>
      <c r="K40" s="4"/>
      <c r="L40" s="4"/>
      <c r="M40" s="9"/>
      <c r="O40" s="4"/>
    </row>
  </sheetData>
  <sortState ref="A14:M22">
    <sortCondition ref="A14:A22"/>
  </sortState>
  <hyperlinks>
    <hyperlink ref="M2" r:id="rId1"/>
    <hyperlink ref="M4" r:id="rId2"/>
    <hyperlink ref="M5" r:id="rId3"/>
    <hyperlink ref="M6" r:id="rId4"/>
    <hyperlink ref="M38" r:id="rId5"/>
    <hyperlink ref="M7" r:id="rId6"/>
    <hyperlink ref="M3" r:id="rId7"/>
    <hyperlink ref="M17" r:id="rId8"/>
    <hyperlink ref="M25" r:id="rId9"/>
    <hyperlink ref="M16" r:id="rId10" display="https://www.ebay.com/itm/226886814060"/>
    <hyperlink ref="M20" r:id="rId11"/>
    <hyperlink ref="M14" r:id="rId12"/>
    <hyperlink ref="M18" r:id="rId13"/>
    <hyperlink ref="M19" r:id="rId14"/>
    <hyperlink ref="M9" r:id="rId15"/>
    <hyperlink ref="M8" r:id="rId16"/>
    <hyperlink ref="M10" r:id="rId17"/>
    <hyperlink ref="M11" r:id="rId18"/>
  </hyperlinks>
  <pageMargins left="0.48" right="0.25" top="0.75" bottom="0.75" header="0.3" footer="0.3"/>
  <pageSetup paperSize="5" orientation="landscape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5" x14ac:dyDescent="0.25"/>
  <cols>
    <col min="1" max="1" width="90" customWidth="1"/>
  </cols>
  <sheetData>
    <row r="1" spans="1:1" ht="18" customHeight="1" x14ac:dyDescent="0.25">
      <c r="A1" s="1" t="s">
        <v>60</v>
      </c>
    </row>
    <row r="2" spans="1:1" ht="18" customHeight="1" x14ac:dyDescent="0.25">
      <c r="A2" s="2" t="s">
        <v>61</v>
      </c>
    </row>
    <row r="3" spans="1:1" ht="18" customHeight="1" x14ac:dyDescent="0.25">
      <c r="A3" s="3" t="s">
        <v>39</v>
      </c>
    </row>
    <row r="4" spans="1:1" ht="18" customHeight="1" x14ac:dyDescent="0.25">
      <c r="A4" s="2" t="s">
        <v>62</v>
      </c>
    </row>
    <row r="5" spans="1:1" ht="18" customHeight="1" x14ac:dyDescent="0.25">
      <c r="A5" s="2" t="s">
        <v>63</v>
      </c>
    </row>
    <row r="6" spans="1:1" ht="18" customHeight="1" x14ac:dyDescent="0.25">
      <c r="A6" s="2" t="s">
        <v>64</v>
      </c>
    </row>
    <row r="7" spans="1:1" ht="18" customHeight="1" x14ac:dyDescent="0.25">
      <c r="A7" s="2" t="s">
        <v>65</v>
      </c>
    </row>
    <row r="8" spans="1:1" ht="18" customHeight="1" x14ac:dyDescent="0.25">
      <c r="A8" t="s">
        <v>66</v>
      </c>
    </row>
    <row r="9" spans="1:1" ht="18" customHeight="1" x14ac:dyDescent="0.25"/>
    <row r="10" spans="1:1" ht="18" customHeight="1" x14ac:dyDescent="0.25">
      <c r="A10" t="s">
        <v>67</v>
      </c>
    </row>
    <row r="11" spans="1:1" ht="18" customHeight="1" x14ac:dyDescent="0.25">
      <c r="A11" t="s">
        <v>68</v>
      </c>
    </row>
    <row r="12" spans="1:1" ht="18" customHeight="1" x14ac:dyDescent="0.25">
      <c r="A12" s="2"/>
    </row>
    <row r="13" spans="1:1" ht="18" customHeight="1" x14ac:dyDescent="0.25">
      <c r="A13" s="3" t="s">
        <v>69</v>
      </c>
    </row>
    <row r="14" spans="1:1" ht="18" customHeight="1" x14ac:dyDescent="0.25">
      <c r="A14" s="2" t="s">
        <v>70</v>
      </c>
    </row>
    <row r="15" spans="1:1" ht="18" customHeight="1" x14ac:dyDescent="0.25">
      <c r="A15" s="2" t="s">
        <v>71</v>
      </c>
    </row>
    <row r="16" spans="1:1" ht="18" customHeight="1" x14ac:dyDescent="0.25">
      <c r="A16" s="2" t="s">
        <v>72</v>
      </c>
    </row>
    <row r="17" spans="1:1" ht="18" customHeight="1" x14ac:dyDescent="0.25">
      <c r="A17" s="2" t="s">
        <v>73</v>
      </c>
    </row>
    <row r="18" spans="1:1" ht="18" customHeight="1" x14ac:dyDescent="0.25">
      <c r="A18" s="2"/>
    </row>
    <row r="19" spans="1:1" ht="18" customHeight="1" x14ac:dyDescent="0.25">
      <c r="A19" s="3" t="s">
        <v>74</v>
      </c>
    </row>
    <row r="20" spans="1:1" ht="18" customHeight="1" x14ac:dyDescent="0.25">
      <c r="A20" s="2" t="s">
        <v>75</v>
      </c>
    </row>
    <row r="21" spans="1:1" ht="18" customHeight="1" x14ac:dyDescent="0.25">
      <c r="A21" s="2" t="s">
        <v>76</v>
      </c>
    </row>
    <row r="22" spans="1:1" ht="18" customHeight="1" x14ac:dyDescent="0.25">
      <c r="A22" s="2" t="s">
        <v>77</v>
      </c>
    </row>
    <row r="23" spans="1:1" ht="18" customHeight="1" x14ac:dyDescent="0.25">
      <c r="A23" s="2"/>
    </row>
    <row r="24" spans="1:1" ht="18" customHeight="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Locked Decisions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Maker</cp:lastModifiedBy>
  <cp:lastPrinted>2026-03-08T06:53:43Z</cp:lastPrinted>
  <dcterms:created xsi:type="dcterms:W3CDTF">2026-01-11T06:44:51Z</dcterms:created>
  <dcterms:modified xsi:type="dcterms:W3CDTF">2026-03-08T06:53:52Z</dcterms:modified>
</cp:coreProperties>
</file>