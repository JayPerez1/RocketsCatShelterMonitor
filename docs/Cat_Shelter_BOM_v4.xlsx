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630" yWindow="600" windowWidth="27495" windowHeight="13995"/>
  </bookViews>
  <sheets>
    <sheet name="BOM" sheetId="1" r:id="rId1"/>
    <sheet name="Locked Decisions" sheetId="2" r:id="rId2"/>
  </sheets>
  <calcPr calcId="145621"/>
</workbook>
</file>

<file path=xl/calcChain.xml><?xml version="1.0" encoding="utf-8"?>
<calcChain xmlns="http://schemas.openxmlformats.org/spreadsheetml/2006/main">
  <c r="J11" i="1" l="1"/>
  <c r="J23" i="1"/>
  <c r="J22" i="1"/>
  <c r="J21" i="1"/>
  <c r="J20" i="1"/>
  <c r="J19" i="1"/>
  <c r="J18" i="1"/>
  <c r="J9" i="1"/>
  <c r="J17" i="1"/>
  <c r="J8" i="1"/>
  <c r="J16" i="1"/>
  <c r="J7" i="1"/>
  <c r="J15" i="1"/>
  <c r="J14" i="1"/>
  <c r="J6" i="1"/>
  <c r="J5" i="1"/>
  <c r="J4" i="1"/>
  <c r="J3" i="1"/>
  <c r="J2" i="1"/>
  <c r="J24" i="1" l="1"/>
</calcChain>
</file>

<file path=xl/sharedStrings.xml><?xml version="1.0" encoding="utf-8"?>
<sst xmlns="http://schemas.openxmlformats.org/spreadsheetml/2006/main" count="199" uniqueCount="136">
  <si>
    <t>Category</t>
  </si>
  <si>
    <t>Item</t>
  </si>
  <si>
    <t>Supplier</t>
  </si>
  <si>
    <t>Supplier SKU</t>
  </si>
  <si>
    <t>Manufacturer</t>
  </si>
  <si>
    <t>MPN</t>
  </si>
  <si>
    <t>Qty</t>
  </si>
  <si>
    <t>Direct Product URL</t>
  </si>
  <si>
    <t>Status</t>
  </si>
  <si>
    <t>Lead/Risk Notes</t>
  </si>
  <si>
    <t>Compute</t>
  </si>
  <si>
    <t>Microcontroller board (BLE-first)</t>
  </si>
  <si>
    <t>Adafruit</t>
  </si>
  <si>
    <t>4062</t>
  </si>
  <si>
    <t>Adafruit Industries</t>
  </si>
  <si>
    <t>https://www.adafruit.com/product/4062</t>
  </si>
  <si>
    <t>Required</t>
  </si>
  <si>
    <t>BLE required from day one; Micro-USB for programming (USB-C not required); on-board LiPo charger present but not used in field.</t>
  </si>
  <si>
    <t>Storage</t>
  </si>
  <si>
    <t>Non-volatile memory breakout (SPI FRAM 256KB)</t>
  </si>
  <si>
    <t>4718</t>
  </si>
  <si>
    <t>Fujitsu</t>
  </si>
  <si>
    <t>MB85RS2MTA</t>
  </si>
  <si>
    <t>https://www.adafruit.com/product/4718</t>
  </si>
  <si>
    <t>256KB FRAM gives weeks of logs; fast writes; rated -40°C to +85°C (per Adafruit listing).</t>
  </si>
  <si>
    <t>Timekeeping</t>
  </si>
  <si>
    <t>Precision RTC breakout (I2C)</t>
  </si>
  <si>
    <t>3013</t>
  </si>
  <si>
    <t>Analog Devices / Maxim</t>
  </si>
  <si>
    <t>DS3231</t>
  </si>
  <si>
    <t>https://www.adafruit.com/product/3013</t>
  </si>
  <si>
    <t>Recommended</t>
  </si>
  <si>
    <t>Add CR1220 backup battery for time retention.</t>
  </si>
  <si>
    <t>Coin cell for RTC backup</t>
  </si>
  <si>
    <t>380</t>
  </si>
  <si>
    <t>Various (verified by Adafruit)</t>
  </si>
  <si>
    <t>CR1220</t>
  </si>
  <si>
    <t>https://www.adafruit.com/product/380</t>
  </si>
  <si>
    <t>Lithium shipping restrictions may apply.</t>
  </si>
  <si>
    <t>Sensing</t>
  </si>
  <si>
    <t>Waterproof temperature probe (DS18B20, PVC cable)</t>
  </si>
  <si>
    <t>381</t>
  </si>
  <si>
    <t>Maxim / Analog Devices</t>
  </si>
  <si>
    <t>DS18B20</t>
  </si>
  <si>
    <t>https://www.adafruit.com/product/381</t>
  </si>
  <si>
    <t>Waterproof probe; buy 2 (inside/outside). Adafruit listing includes the needed 4.7k pull-up resistor. PVC cable; keep under ~100°C.</t>
  </si>
  <si>
    <t>1-Wire pull-up resistor pack (4.7kΩ, 1/4W, 5%)</t>
  </si>
  <si>
    <t>2783</t>
  </si>
  <si>
    <t>https://www.adafruit.com/product/2783</t>
  </si>
  <si>
    <t>Optional</t>
  </si>
  <si>
    <t>Not needed if you buy Adafruit DS18B20 probes (they include the 4.7k pull-up). Keep as spare only.</t>
  </si>
  <si>
    <t>Power</t>
  </si>
  <si>
    <t>Swappable battery pack (1S2P, 3.7V 4400mAh, protected)</t>
  </si>
  <si>
    <t>354</t>
  </si>
  <si>
    <t>https://www.adafruit.com/product/354</t>
  </si>
  <si>
    <t>2x 2200mAh cells in parallel with protection circuit; charge indoors only.</t>
  </si>
  <si>
    <t>Switched JST-PH battery breakout (on/off)</t>
  </si>
  <si>
    <t>1863</t>
  </si>
  <si>
    <t>https://www.adafruit.com/product/1863</t>
  </si>
  <si>
    <t>Inline power switch via JST; rated up to ~600mA.</t>
  </si>
  <si>
    <t>Power (Indoor)</t>
  </si>
  <si>
    <t>USB-C LiIon/LiPoly charger (desk charger, off-unit)</t>
  </si>
  <si>
    <t>4410</t>
  </si>
  <si>
    <t>https://www.adafruit.com/product/4410</t>
  </si>
  <si>
    <t>Used indoors only; keeps charging circuitry out of field unit.</t>
  </si>
  <si>
    <t>Enclosure</t>
  </si>
  <si>
    <t>Flanged weatherproof enclosure w/ 2x PG-7 cable glands</t>
  </si>
  <si>
    <t>3931</t>
  </si>
  <si>
    <t>https://www.adafruit.com/product/3931</t>
  </si>
  <si>
    <t>Includes two PG-7 glands; good for sensor cable pass-throughs.</t>
  </si>
  <si>
    <t>Extra PG-7 cable gland (spares/extra penetrations)</t>
  </si>
  <si>
    <t>762</t>
  </si>
  <si>
    <t>https://www.adafruit.com/product/762</t>
  </si>
  <si>
    <t>Sized for 0.118"–0.169" cable diameter.</t>
  </si>
  <si>
    <t>Wiring</t>
  </si>
  <si>
    <t>Silicone stranded ribbon cable (10-wire, 24AWG, 1m)</t>
  </si>
  <si>
    <t>6181</t>
  </si>
  <si>
    <t>https://www.adafruit.com/product/6181</t>
  </si>
  <si>
    <t>Flexible in cold; good for internal harnessing.</t>
  </si>
  <si>
    <t>Snap-action 3-wire block connector (lever nuts), pack of 3</t>
  </si>
  <si>
    <t>866</t>
  </si>
  <si>
    <t>https://www.adafruit.com/product/866</t>
  </si>
  <si>
    <t>Convenient for field-serviceable splices; avoid if you prefer solder joints.</t>
  </si>
  <si>
    <t>Prototyping</t>
  </si>
  <si>
    <t>Perma-Proto quarter-sized PCB</t>
  </si>
  <si>
    <t>589</t>
  </si>
  <si>
    <t>https://www.adafruit.com/product/589</t>
  </si>
  <si>
    <t>Mount QT Py + breakouts with strain relief.</t>
  </si>
  <si>
    <t>Break-away male header strip (0.1", 36-pin) - 10 pack</t>
  </si>
  <si>
    <t>392</t>
  </si>
  <si>
    <t>https://www.adafruit.com/product/392</t>
  </si>
  <si>
    <t>For protoboard/breakouts; QT Py uses pads/castellations.</t>
  </si>
  <si>
    <t>Consumables</t>
  </si>
  <si>
    <t>Multi-colored heat shrink pack</t>
  </si>
  <si>
    <t>1649</t>
  </si>
  <si>
    <t>https://www.adafruit.com/product/1649</t>
  </si>
  <si>
    <t>Strain relief + labeling.</t>
  </si>
  <si>
    <t>Safety (Optional)</t>
  </si>
  <si>
    <t>IP67 inline ATO blade fuse holder</t>
  </si>
  <si>
    <t>Mouser</t>
  </si>
  <si>
    <t>576-FHAC1BP</t>
  </si>
  <si>
    <t>Littelfuse</t>
  </si>
  <si>
    <t>FHAC1BP</t>
  </si>
  <si>
    <t>https://www.mouser.com/ProductDetail/Littelfuse/FHAC1BP</t>
  </si>
  <si>
    <t>Adds extra protection beyond battery PCM.</t>
  </si>
  <si>
    <t>ATO blade fuse, 2A</t>
  </si>
  <si>
    <t>576-0ATO002.V</t>
  </si>
  <si>
    <t>0ATO002.V</t>
  </si>
  <si>
    <t>https://www.mouser.com/ProductDetail/Littelfuse/0ATO002.V</t>
  </si>
  <si>
    <t>Spare fuses recommended; choose rating after current measurement.</t>
  </si>
  <si>
    <t>Outdoor Cat Shelter Monitoring – Locked Decisions</t>
  </si>
  <si>
    <t>Temperature probes: use Adafruit DS18B20 waterproof probes; pull-up resistor included (no separate resistor purchase needed).</t>
  </si>
  <si>
    <t>• Charging indoors only; no charging circuitry in field unit.</t>
  </si>
  <si>
    <t>• Field operation uses swappable battery packs.</t>
  </si>
  <si>
    <t>• Battery: 1S2P using 18650 cells (3.0–4.2 V system).</t>
  </si>
  <si>
    <t>• USB-C is retained only for programming/debugging (not charging).</t>
  </si>
  <si>
    <t>• NOTE: Selected Feather nRF52840 uses Micro-USB for programming; functionally equivalent to USB-C for this project.</t>
  </si>
  <si>
    <t>Communications / Data Offload</t>
  </si>
  <si>
    <t>• BLE offload to a phone is required from day one; app should download only new records since last offload.</t>
  </si>
  <si>
    <t>Sensors / Connectors</t>
  </si>
  <si>
    <t>• Waterproof temperature sensing required.</t>
  </si>
  <si>
    <t>• DS18B20 waterproof probe acceptable.</t>
  </si>
  <si>
    <t>• Connector requirement dropped; direct wiring is fine.</t>
  </si>
  <si>
    <t>• Components tolerate Northeast US climate; sheltered from direct weather.</t>
  </si>
  <si>
    <t>Suppliers / BOM Rules</t>
  </si>
  <si>
    <t>• Prefer Adafruit first, Mouser second.</t>
  </si>
  <si>
    <t>• BOM must use direct product links to unique SKUs (no search/category links).</t>
  </si>
  <si>
    <t>• Include exact part numbers (MPNs), quantities, and flag long-lead/risk items.</t>
  </si>
  <si>
    <t>Sort</t>
  </si>
  <si>
    <t>Unit Price</t>
  </si>
  <si>
    <t>Ext. Price</t>
  </si>
  <si>
    <t>UPS Ground</t>
  </si>
  <si>
    <t>Shipping UPS Ground</t>
  </si>
  <si>
    <t>UPS</t>
  </si>
  <si>
    <t>Shipping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</si>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</sst>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5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1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164" fontId="3" fillId="0" borderId="0" xfId="0" applyNumberFormat="1" applyFont="1" applyAlignment="1">
      <alignment vertical="top"/>
    </xf>
    <xf numFmtId="164" fontId="0" fillId="0" borderId="0" xfId="0" applyNumberFormat="1" applyAlignment="1">
      <alignment vertical="top"/>
    </xf>
    <xf numFmtId="164" fontId="3" fillId="0" borderId="1" xfId="0" applyNumberFormat="1" applyFont="1" applyBorder="1" applyAlignment="1">
      <alignment vertical="top"/>
    </xf>
    <xf numFmtId="164" fontId="3" fillId="0" borderId="2" xfId="0" applyNumberFormat="1" applyFont="1" applyBorder="1" applyAlignment="1">
      <alignment vertical="top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horizontal="center" vertical="top"/>
    </xf>
    <xf numFmtId="164" fontId="0" fillId="0" borderId="1" xfId="0" applyNumberFormat="1" applyBorder="1" applyAlignment="1">
      <alignment vertical="top"/>
    </xf>
    <xf numFmtId="0" fontId="4" fillId="0" borderId="1" xfId="1" applyBorder="1" applyAlignment="1">
      <alignment vertical="top"/>
    </xf>
    <xf numFmtId="0" fontId="0" fillId="0" borderId="1" xfId="0" applyBorder="1" applyAlignment="1">
      <alignment vertical="top" wrapText="1"/>
    </xf>
    <xf numFmtId="164" fontId="3" fillId="0" borderId="1" xfId="0" applyNumberFormat="1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dafruit.com/product/4410" TargetMode="External"/><Relationship Id="rId13" Type="http://schemas.openxmlformats.org/officeDocument/2006/relationships/hyperlink" Target="https://www.adafruit.com/product/589" TargetMode="External"/><Relationship Id="rId18" Type="http://schemas.openxmlformats.org/officeDocument/2006/relationships/hyperlink" Target="https://www.adafruit.com/product/4718" TargetMode="External"/><Relationship Id="rId3" Type="http://schemas.openxmlformats.org/officeDocument/2006/relationships/hyperlink" Target="https://www.adafruit.com/product/380" TargetMode="External"/><Relationship Id="rId7" Type="http://schemas.openxmlformats.org/officeDocument/2006/relationships/hyperlink" Target="https://www.adafruit.com/product/1863" TargetMode="External"/><Relationship Id="rId12" Type="http://schemas.openxmlformats.org/officeDocument/2006/relationships/hyperlink" Target="https://www.adafruit.com/product/866" TargetMode="External"/><Relationship Id="rId17" Type="http://schemas.openxmlformats.org/officeDocument/2006/relationships/hyperlink" Target="https://www.mouser.com/ProductDetail/Littelfuse/0ATO002.V" TargetMode="External"/><Relationship Id="rId2" Type="http://schemas.openxmlformats.org/officeDocument/2006/relationships/hyperlink" Target="https://www.adafruit.com/product/3013" TargetMode="External"/><Relationship Id="rId16" Type="http://schemas.openxmlformats.org/officeDocument/2006/relationships/hyperlink" Target="https://www.mouser.com/ProductDetail/Littelfuse/FHAC1BP" TargetMode="External"/><Relationship Id="rId1" Type="http://schemas.openxmlformats.org/officeDocument/2006/relationships/hyperlink" Target="https://www.adafruit.com/product/4062" TargetMode="External"/><Relationship Id="rId6" Type="http://schemas.openxmlformats.org/officeDocument/2006/relationships/hyperlink" Target="https://www.adafruit.com/product/354" TargetMode="External"/><Relationship Id="rId11" Type="http://schemas.openxmlformats.org/officeDocument/2006/relationships/hyperlink" Target="https://www.adafruit.com/product/6181" TargetMode="External"/><Relationship Id="rId5" Type="http://schemas.openxmlformats.org/officeDocument/2006/relationships/hyperlink" Target="https://www.adafruit.com/product/2783" TargetMode="External"/><Relationship Id="rId15" Type="http://schemas.openxmlformats.org/officeDocument/2006/relationships/hyperlink" Target="https://www.adafruit.com/product/1649" TargetMode="External"/><Relationship Id="rId10" Type="http://schemas.openxmlformats.org/officeDocument/2006/relationships/hyperlink" Target="https://www.adafruit.com/product/762" TargetMode="External"/><Relationship Id="rId4" Type="http://schemas.openxmlformats.org/officeDocument/2006/relationships/hyperlink" Target="https://www.adafruit.com/product/381" TargetMode="External"/><Relationship Id="rId9" Type="http://schemas.openxmlformats.org/officeDocument/2006/relationships/hyperlink" Target="https://www.adafruit.com/product/3931" TargetMode="External"/><Relationship Id="rId14" Type="http://schemas.openxmlformats.org/officeDocument/2006/relationships/hyperlink" Target="https://www.adafruit.com/product/39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9"/>
  <sheetViews>
    <sheetView tabSelected="1" workbookViewId="0"/>
  </sheetViews>
  <sheetFormatPr defaultRowHeight="15" x14ac:dyDescent="0.25"/>
  <cols>
    <col min="1" max="1" width="4.5703125" style="6" bestFit="1" customWidth="1"/>
    <col min="2" max="2" width="16.28515625" style="4" bestFit="1" customWidth="1"/>
    <col min="3" max="3" width="35.7109375" style="2" customWidth="1"/>
    <col min="4" max="4" width="10.7109375" style="7" customWidth="1"/>
    <col min="5" max="5" width="12.85546875" style="7" customWidth="1"/>
    <col min="6" max="6" width="18" style="4" customWidth="1"/>
    <col min="7" max="7" width="14" style="7" customWidth="1"/>
    <col min="8" max="8" width="6" style="7" customWidth="1"/>
    <col min="9" max="10" width="11.140625" style="9" customWidth="1"/>
    <col min="11" max="11" width="58.42578125" style="4" bestFit="1" customWidth="1"/>
    <col min="12" max="12" width="12" style="4" customWidth="1"/>
    <col min="13" max="13" width="46" style="2" customWidth="1"/>
    <col min="14" max="16384" width="9.140625" style="4"/>
  </cols>
  <sheetData>
    <row r="1" spans="1:13" s="6" customFormat="1" x14ac:dyDescent="0.25">
      <c r="A1" s="12" t="s">
        <v>128</v>
      </c>
      <c r="B1" s="12" t="s">
        <v>0</v>
      </c>
      <c r="C1" s="20" t="s">
        <v>1</v>
      </c>
      <c r="D1" s="12" t="s">
        <v>2</v>
      </c>
      <c r="E1" s="12" t="s">
        <v>3</v>
      </c>
      <c r="F1" s="12" t="s">
        <v>4</v>
      </c>
      <c r="G1" s="12" t="s">
        <v>5</v>
      </c>
      <c r="H1" s="12" t="s">
        <v>6</v>
      </c>
      <c r="I1" s="19" t="s">
        <v>129</v>
      </c>
      <c r="J1" s="19" t="s">
        <v>130</v>
      </c>
      <c r="K1" s="12" t="s">
        <v>7</v>
      </c>
      <c r="L1" s="12" t="s">
        <v>8</v>
      </c>
      <c r="M1" s="20" t="s">
        <v>9</v>
      </c>
    </row>
    <row r="2" spans="1:13" ht="45" x14ac:dyDescent="0.25">
      <c r="A2" s="12">
        <v>1</v>
      </c>
      <c r="B2" s="14" t="s">
        <v>10</v>
      </c>
      <c r="C2" s="18" t="s">
        <v>11</v>
      </c>
      <c r="D2" s="15" t="s">
        <v>12</v>
      </c>
      <c r="E2" s="15" t="s">
        <v>13</v>
      </c>
      <c r="F2" s="14" t="s">
        <v>14</v>
      </c>
      <c r="G2" s="15" t="s">
        <v>13</v>
      </c>
      <c r="H2" s="15">
        <v>1</v>
      </c>
      <c r="I2" s="16">
        <v>24.95</v>
      </c>
      <c r="J2" s="16">
        <f>IF(OR(I2="",H2=""),"",H2*I2)</f>
        <v>24.95</v>
      </c>
      <c r="K2" s="17" t="s">
        <v>15</v>
      </c>
      <c r="L2" s="14" t="s">
        <v>16</v>
      </c>
      <c r="M2" s="18" t="s">
        <v>17</v>
      </c>
    </row>
    <row r="3" spans="1:13" ht="30" x14ac:dyDescent="0.25">
      <c r="A3" s="12">
        <v>2</v>
      </c>
      <c r="B3" s="14" t="s">
        <v>18</v>
      </c>
      <c r="C3" s="18" t="s">
        <v>19</v>
      </c>
      <c r="D3" s="15" t="s">
        <v>12</v>
      </c>
      <c r="E3" s="15" t="s">
        <v>20</v>
      </c>
      <c r="F3" s="14" t="s">
        <v>21</v>
      </c>
      <c r="G3" s="15" t="s">
        <v>22</v>
      </c>
      <c r="H3" s="15">
        <v>1</v>
      </c>
      <c r="I3" s="16">
        <v>12.95</v>
      </c>
      <c r="J3" s="16">
        <f>IF(OR(I3="",H3=""),"",H3*I3)</f>
        <v>12.95</v>
      </c>
      <c r="K3" s="17" t="s">
        <v>23</v>
      </c>
      <c r="L3" s="14" t="s">
        <v>16</v>
      </c>
      <c r="M3" s="18" t="s">
        <v>24</v>
      </c>
    </row>
    <row r="4" spans="1:13" x14ac:dyDescent="0.25">
      <c r="A4" s="12">
        <v>3</v>
      </c>
      <c r="B4" s="14" t="s">
        <v>25</v>
      </c>
      <c r="C4" s="18" t="s">
        <v>26</v>
      </c>
      <c r="D4" s="15" t="s">
        <v>12</v>
      </c>
      <c r="E4" s="15" t="s">
        <v>27</v>
      </c>
      <c r="F4" s="14" t="s">
        <v>28</v>
      </c>
      <c r="G4" s="15" t="s">
        <v>29</v>
      </c>
      <c r="H4" s="15">
        <v>1</v>
      </c>
      <c r="I4" s="16">
        <v>17.5</v>
      </c>
      <c r="J4" s="16">
        <f>IF(OR(I4="",H4=""),"",H4*I4)</f>
        <v>17.5</v>
      </c>
      <c r="K4" s="17" t="s">
        <v>30</v>
      </c>
      <c r="L4" s="14" t="s">
        <v>31</v>
      </c>
      <c r="M4" s="18" t="s">
        <v>32</v>
      </c>
    </row>
    <row r="5" spans="1:13" x14ac:dyDescent="0.25">
      <c r="A5" s="12">
        <v>4</v>
      </c>
      <c r="B5" s="14" t="s">
        <v>25</v>
      </c>
      <c r="C5" s="18" t="s">
        <v>33</v>
      </c>
      <c r="D5" s="15" t="s">
        <v>12</v>
      </c>
      <c r="E5" s="15" t="s">
        <v>34</v>
      </c>
      <c r="F5" s="14" t="s">
        <v>35</v>
      </c>
      <c r="G5" s="15" t="s">
        <v>36</v>
      </c>
      <c r="H5" s="15">
        <v>1</v>
      </c>
      <c r="I5" s="16">
        <v>0.95</v>
      </c>
      <c r="J5" s="16">
        <f>IF(OR(I5="",H5=""),"",H5*I5)</f>
        <v>0.95</v>
      </c>
      <c r="K5" s="17" t="s">
        <v>37</v>
      </c>
      <c r="L5" s="14" t="s">
        <v>31</v>
      </c>
      <c r="M5" s="18" t="s">
        <v>38</v>
      </c>
    </row>
    <row r="6" spans="1:13" ht="45" x14ac:dyDescent="0.25">
      <c r="A6" s="12">
        <v>5</v>
      </c>
      <c r="B6" s="14" t="s">
        <v>39</v>
      </c>
      <c r="C6" s="18" t="s">
        <v>40</v>
      </c>
      <c r="D6" s="15" t="s">
        <v>12</v>
      </c>
      <c r="E6" s="15" t="s">
        <v>41</v>
      </c>
      <c r="F6" s="14" t="s">
        <v>42</v>
      </c>
      <c r="G6" s="15" t="s">
        <v>43</v>
      </c>
      <c r="H6" s="15">
        <v>2</v>
      </c>
      <c r="I6" s="16">
        <v>9.9499999999999993</v>
      </c>
      <c r="J6" s="16">
        <f>IF(OR(I6="",H6=""),"",H6*I6)</f>
        <v>19.899999999999999</v>
      </c>
      <c r="K6" s="17" t="s">
        <v>44</v>
      </c>
      <c r="L6" s="14" t="s">
        <v>16</v>
      </c>
      <c r="M6" s="18" t="s">
        <v>45</v>
      </c>
    </row>
    <row r="7" spans="1:13" ht="30" x14ac:dyDescent="0.25">
      <c r="A7" s="12">
        <v>8</v>
      </c>
      <c r="B7" s="14" t="s">
        <v>51</v>
      </c>
      <c r="C7" s="18" t="s">
        <v>56</v>
      </c>
      <c r="D7" s="15" t="s">
        <v>12</v>
      </c>
      <c r="E7" s="15" t="s">
        <v>57</v>
      </c>
      <c r="F7" s="14" t="s">
        <v>14</v>
      </c>
      <c r="G7" s="15" t="s">
        <v>57</v>
      </c>
      <c r="H7" s="15">
        <v>1</v>
      </c>
      <c r="I7" s="16">
        <v>2.5</v>
      </c>
      <c r="J7" s="16">
        <f>IF(OR(I7="",H7=""),"",H7*I7)</f>
        <v>2.5</v>
      </c>
      <c r="K7" s="17" t="s">
        <v>58</v>
      </c>
      <c r="L7" s="14" t="s">
        <v>31</v>
      </c>
      <c r="M7" s="18" t="s">
        <v>59</v>
      </c>
    </row>
    <row r="8" spans="1:13" ht="30" x14ac:dyDescent="0.25">
      <c r="A8" s="12">
        <v>10</v>
      </c>
      <c r="B8" s="14" t="s">
        <v>65</v>
      </c>
      <c r="C8" s="18" t="s">
        <v>66</v>
      </c>
      <c r="D8" s="15" t="s">
        <v>12</v>
      </c>
      <c r="E8" s="15" t="s">
        <v>67</v>
      </c>
      <c r="F8" s="14" t="s">
        <v>14</v>
      </c>
      <c r="G8" s="15" t="s">
        <v>67</v>
      </c>
      <c r="H8" s="15">
        <v>0</v>
      </c>
      <c r="I8" s="16">
        <v>9.9499999999999993</v>
      </c>
      <c r="J8" s="16">
        <f>IF(OR(I8="",H8=""),"",H8*I8)</f>
        <v>0</v>
      </c>
      <c r="K8" s="17" t="s">
        <v>68</v>
      </c>
      <c r="L8" s="14" t="s">
        <v>16</v>
      </c>
      <c r="M8" s="18" t="s">
        <v>69</v>
      </c>
    </row>
    <row r="9" spans="1:13" ht="30" x14ac:dyDescent="0.25">
      <c r="A9" s="12">
        <v>12</v>
      </c>
      <c r="B9" s="14" t="s">
        <v>74</v>
      </c>
      <c r="C9" s="18" t="s">
        <v>75</v>
      </c>
      <c r="D9" s="15" t="s">
        <v>12</v>
      </c>
      <c r="E9" s="15" t="s">
        <v>76</v>
      </c>
      <c r="F9" s="14" t="s">
        <v>14</v>
      </c>
      <c r="G9" s="15" t="s">
        <v>76</v>
      </c>
      <c r="H9" s="15">
        <v>1</v>
      </c>
      <c r="I9" s="16">
        <v>2.95</v>
      </c>
      <c r="J9" s="16">
        <f>IF(OR(I9="",H9=""),"",H9*I9)</f>
        <v>2.95</v>
      </c>
      <c r="K9" s="17" t="s">
        <v>77</v>
      </c>
      <c r="L9" s="14" t="s">
        <v>31</v>
      </c>
      <c r="M9" s="18" t="s">
        <v>78</v>
      </c>
    </row>
    <row r="10" spans="1:13" x14ac:dyDescent="0.25">
      <c r="A10" s="12">
        <v>19</v>
      </c>
      <c r="B10" s="13" t="s">
        <v>134</v>
      </c>
      <c r="C10" s="13" t="s">
        <v>131</v>
      </c>
      <c r="D10" s="15" t="s">
        <v>133</v>
      </c>
      <c r="E10" s="15"/>
      <c r="F10" s="14"/>
      <c r="G10" s="15"/>
      <c r="H10" s="15"/>
      <c r="I10" s="16"/>
      <c r="J10" s="10">
        <v>13.82</v>
      </c>
      <c r="K10" s="13" t="s">
        <v>132</v>
      </c>
      <c r="L10" s="14"/>
      <c r="M10" s="18"/>
    </row>
    <row r="11" spans="1:13" x14ac:dyDescent="0.25">
      <c r="J11" s="11">
        <f>SUM(J2:J10)</f>
        <v>95.52000000000001</v>
      </c>
      <c r="K11" s="13" t="s">
        <v>135</v>
      </c>
    </row>
    <row r="12" spans="1:13" x14ac:dyDescent="0.25">
      <c r="J12" s="8"/>
      <c r="K12" s="5"/>
    </row>
    <row r="14" spans="1:13" ht="45" x14ac:dyDescent="0.25">
      <c r="A14" s="12">
        <v>6</v>
      </c>
      <c r="B14" s="14" t="s">
        <v>39</v>
      </c>
      <c r="C14" s="18" t="s">
        <v>46</v>
      </c>
      <c r="D14" s="15" t="s">
        <v>12</v>
      </c>
      <c r="E14" s="15" t="s">
        <v>47</v>
      </c>
      <c r="F14" s="14" t="s">
        <v>14</v>
      </c>
      <c r="G14" s="15" t="s">
        <v>47</v>
      </c>
      <c r="H14" s="15">
        <v>0</v>
      </c>
      <c r="I14" s="16">
        <v>0.75</v>
      </c>
      <c r="J14" s="16">
        <f>IF(OR(I14="",H14=""),"",H14*I14)</f>
        <v>0</v>
      </c>
      <c r="K14" s="17" t="s">
        <v>48</v>
      </c>
      <c r="L14" s="14" t="s">
        <v>49</v>
      </c>
      <c r="M14" s="18" t="s">
        <v>50</v>
      </c>
    </row>
    <row r="15" spans="1:13" ht="30" x14ac:dyDescent="0.25">
      <c r="A15" s="12">
        <v>7</v>
      </c>
      <c r="B15" s="14" t="s">
        <v>51</v>
      </c>
      <c r="C15" s="18" t="s">
        <v>52</v>
      </c>
      <c r="D15" s="15" t="s">
        <v>12</v>
      </c>
      <c r="E15" s="15" t="s">
        <v>53</v>
      </c>
      <c r="F15" s="14" t="s">
        <v>14</v>
      </c>
      <c r="G15" s="15" t="s">
        <v>53</v>
      </c>
      <c r="H15" s="15">
        <v>0</v>
      </c>
      <c r="I15" s="16">
        <v>19.95</v>
      </c>
      <c r="J15" s="16">
        <f>IF(OR(I15="",H15=""),"",H15*I15)</f>
        <v>0</v>
      </c>
      <c r="K15" s="17" t="s">
        <v>54</v>
      </c>
      <c r="L15" s="14" t="s">
        <v>16</v>
      </c>
      <c r="M15" s="18" t="s">
        <v>55</v>
      </c>
    </row>
    <row r="16" spans="1:13" ht="30" x14ac:dyDescent="0.25">
      <c r="A16" s="12">
        <v>9</v>
      </c>
      <c r="B16" s="14" t="s">
        <v>60</v>
      </c>
      <c r="C16" s="18" t="s">
        <v>61</v>
      </c>
      <c r="D16" s="15" t="s">
        <v>12</v>
      </c>
      <c r="E16" s="15" t="s">
        <v>62</v>
      </c>
      <c r="F16" s="14" t="s">
        <v>14</v>
      </c>
      <c r="G16" s="15" t="s">
        <v>62</v>
      </c>
      <c r="H16" s="15">
        <v>0</v>
      </c>
      <c r="I16" s="16">
        <v>5.95</v>
      </c>
      <c r="J16" s="16">
        <f>IF(OR(I16="",H16=""),"",H16*I16)</f>
        <v>0</v>
      </c>
      <c r="K16" s="17" t="s">
        <v>63</v>
      </c>
      <c r="L16" s="14" t="s">
        <v>31</v>
      </c>
      <c r="M16" s="18" t="s">
        <v>64</v>
      </c>
    </row>
    <row r="17" spans="1:13" ht="30" x14ac:dyDescent="0.25">
      <c r="A17" s="12">
        <v>11</v>
      </c>
      <c r="B17" s="14" t="s">
        <v>65</v>
      </c>
      <c r="C17" s="18" t="s">
        <v>70</v>
      </c>
      <c r="D17" s="15" t="s">
        <v>12</v>
      </c>
      <c r="E17" s="15" t="s">
        <v>71</v>
      </c>
      <c r="F17" s="14" t="s">
        <v>14</v>
      </c>
      <c r="G17" s="15" t="s">
        <v>71</v>
      </c>
      <c r="H17" s="15">
        <v>0</v>
      </c>
      <c r="I17" s="16">
        <v>1.95</v>
      </c>
      <c r="J17" s="16">
        <f>IF(OR(I17="",H17=""),"",H17*I17)</f>
        <v>0</v>
      </c>
      <c r="K17" s="17" t="s">
        <v>72</v>
      </c>
      <c r="L17" s="14" t="s">
        <v>49</v>
      </c>
      <c r="M17" s="18" t="s">
        <v>73</v>
      </c>
    </row>
    <row r="18" spans="1:13" ht="30" x14ac:dyDescent="0.25">
      <c r="A18" s="12">
        <v>13</v>
      </c>
      <c r="B18" s="14" t="s">
        <v>74</v>
      </c>
      <c r="C18" s="18" t="s">
        <v>79</v>
      </c>
      <c r="D18" s="15" t="s">
        <v>12</v>
      </c>
      <c r="E18" s="15" t="s">
        <v>80</v>
      </c>
      <c r="F18" s="14" t="s">
        <v>14</v>
      </c>
      <c r="G18" s="15" t="s">
        <v>80</v>
      </c>
      <c r="H18" s="15">
        <v>0</v>
      </c>
      <c r="I18" s="16">
        <v>2.95</v>
      </c>
      <c r="J18" s="16">
        <f>IF(OR(I18="",H18=""),"",H18*I18)</f>
        <v>0</v>
      </c>
      <c r="K18" s="17" t="s">
        <v>81</v>
      </c>
      <c r="L18" s="14" t="s">
        <v>49</v>
      </c>
      <c r="M18" s="18" t="s">
        <v>82</v>
      </c>
    </row>
    <row r="19" spans="1:13" x14ac:dyDescent="0.25">
      <c r="A19" s="12">
        <v>14</v>
      </c>
      <c r="B19" s="14" t="s">
        <v>83</v>
      </c>
      <c r="C19" s="18" t="s">
        <v>84</v>
      </c>
      <c r="D19" s="15" t="s">
        <v>12</v>
      </c>
      <c r="E19" s="15" t="s">
        <v>85</v>
      </c>
      <c r="F19" s="14" t="s">
        <v>14</v>
      </c>
      <c r="G19" s="15" t="s">
        <v>85</v>
      </c>
      <c r="H19" s="15">
        <v>0</v>
      </c>
      <c r="I19" s="16">
        <v>8.5</v>
      </c>
      <c r="J19" s="16">
        <f>IF(OR(I19="",H19=""),"",H19*I19)</f>
        <v>0</v>
      </c>
      <c r="K19" s="17" t="s">
        <v>86</v>
      </c>
      <c r="L19" s="14" t="s">
        <v>31</v>
      </c>
      <c r="M19" s="18" t="s">
        <v>87</v>
      </c>
    </row>
    <row r="20" spans="1:13" ht="30" x14ac:dyDescent="0.25">
      <c r="A20" s="12">
        <v>15</v>
      </c>
      <c r="B20" s="14" t="s">
        <v>83</v>
      </c>
      <c r="C20" s="18" t="s">
        <v>88</v>
      </c>
      <c r="D20" s="15" t="s">
        <v>12</v>
      </c>
      <c r="E20" s="15" t="s">
        <v>89</v>
      </c>
      <c r="F20" s="14" t="s">
        <v>14</v>
      </c>
      <c r="G20" s="15" t="s">
        <v>89</v>
      </c>
      <c r="H20" s="15">
        <v>0</v>
      </c>
      <c r="I20" s="16">
        <v>4.95</v>
      </c>
      <c r="J20" s="16">
        <f>IF(OR(I20="",H20=""),"",H20*I20)</f>
        <v>0</v>
      </c>
      <c r="K20" s="17" t="s">
        <v>90</v>
      </c>
      <c r="L20" s="14" t="s">
        <v>49</v>
      </c>
      <c r="M20" s="18" t="s">
        <v>91</v>
      </c>
    </row>
    <row r="21" spans="1:13" x14ac:dyDescent="0.25">
      <c r="A21" s="12">
        <v>16</v>
      </c>
      <c r="B21" s="14" t="s">
        <v>92</v>
      </c>
      <c r="C21" s="18" t="s">
        <v>93</v>
      </c>
      <c r="D21" s="15" t="s">
        <v>12</v>
      </c>
      <c r="E21" s="15" t="s">
        <v>94</v>
      </c>
      <c r="F21" s="14" t="s">
        <v>14</v>
      </c>
      <c r="G21" s="15" t="s">
        <v>94</v>
      </c>
      <c r="H21" s="15">
        <v>0</v>
      </c>
      <c r="I21" s="16">
        <v>4.95</v>
      </c>
      <c r="J21" s="16">
        <f>IF(OR(I21="",H21=""),"",H21*I21)</f>
        <v>0</v>
      </c>
      <c r="K21" s="17" t="s">
        <v>95</v>
      </c>
      <c r="L21" s="14" t="s">
        <v>31</v>
      </c>
      <c r="M21" s="18" t="s">
        <v>96</v>
      </c>
    </row>
    <row r="22" spans="1:13" x14ac:dyDescent="0.25">
      <c r="A22" s="12">
        <v>17</v>
      </c>
      <c r="B22" s="14" t="s">
        <v>97</v>
      </c>
      <c r="C22" s="18" t="s">
        <v>98</v>
      </c>
      <c r="D22" s="15" t="s">
        <v>99</v>
      </c>
      <c r="E22" s="15" t="s">
        <v>100</v>
      </c>
      <c r="F22" s="14" t="s">
        <v>101</v>
      </c>
      <c r="G22" s="15" t="s">
        <v>102</v>
      </c>
      <c r="H22" s="15">
        <v>0</v>
      </c>
      <c r="I22" s="16">
        <v>5.93</v>
      </c>
      <c r="J22" s="16">
        <f>IF(OR(I22="",H22=""),"",H22*I22)</f>
        <v>0</v>
      </c>
      <c r="K22" s="17" t="s">
        <v>103</v>
      </c>
      <c r="L22" s="14" t="s">
        <v>49</v>
      </c>
      <c r="M22" s="18" t="s">
        <v>104</v>
      </c>
    </row>
    <row r="23" spans="1:13" ht="30" x14ac:dyDescent="0.25">
      <c r="A23" s="12">
        <v>18</v>
      </c>
      <c r="B23" s="14" t="s">
        <v>97</v>
      </c>
      <c r="C23" s="18" t="s">
        <v>105</v>
      </c>
      <c r="D23" s="15" t="s">
        <v>99</v>
      </c>
      <c r="E23" s="15" t="s">
        <v>106</v>
      </c>
      <c r="F23" s="14" t="s">
        <v>101</v>
      </c>
      <c r="G23" s="15" t="s">
        <v>107</v>
      </c>
      <c r="H23" s="15">
        <v>0</v>
      </c>
      <c r="I23" s="16">
        <v>1.24</v>
      </c>
      <c r="J23" s="16">
        <f>IF(OR(I23="",H23=""),"",H23*I23)</f>
        <v>0</v>
      </c>
      <c r="K23" s="17" t="s">
        <v>108</v>
      </c>
      <c r="L23" s="14" t="s">
        <v>49</v>
      </c>
      <c r="M23" s="18" t="s">
        <v>109</v>
      </c>
    </row>
    <row r="24" spans="1:13" x14ac:dyDescent="0.25">
      <c r="J24" s="11">
        <f>SUM(J14:J23)</f>
        <v>0</v>
      </c>
    </row>
    <row r="26" spans="1:13" x14ac:dyDescent="0.25">
      <c r="K26" s="9"/>
    </row>
    <row r="27" spans="1:13" x14ac:dyDescent="0.25">
      <c r="K27" s="9"/>
    </row>
    <row r="28" spans="1:13" x14ac:dyDescent="0.25">
      <c r="K28" s="9"/>
    </row>
    <row r="29" spans="1:13" x14ac:dyDescent="0.25">
      <c r="K29" s="9"/>
    </row>
  </sheetData>
  <sortState ref="A14:M22">
    <sortCondition ref="A14:A22"/>
  </sortState>
  <hyperlinks>
    <hyperlink ref="K2" r:id="rId1"/>
    <hyperlink ref="K4" r:id="rId2"/>
    <hyperlink ref="K5" r:id="rId3"/>
    <hyperlink ref="K6" r:id="rId4"/>
    <hyperlink ref="K14" r:id="rId5"/>
    <hyperlink ref="K15" r:id="rId6"/>
    <hyperlink ref="K7" r:id="rId7"/>
    <hyperlink ref="K16" r:id="rId8"/>
    <hyperlink ref="K8" r:id="rId9"/>
    <hyperlink ref="K17" r:id="rId10"/>
    <hyperlink ref="K9" r:id="rId11"/>
    <hyperlink ref="K18" r:id="rId12"/>
    <hyperlink ref="K19" r:id="rId13"/>
    <hyperlink ref="K20" r:id="rId14"/>
    <hyperlink ref="K21" r:id="rId15"/>
    <hyperlink ref="K22" r:id="rId16"/>
    <hyperlink ref="K23" r:id="rId17"/>
    <hyperlink ref="K3" r:id="rId18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8"/>
  <sheetViews>
    <sheetView workbookViewId="0"/>
  </sheetViews>
  <sheetFormatPr defaultRowHeight="15" x14ac:dyDescent="0.25"/>
  <cols>
    <col min="1" max="1" width="90" customWidth="1"/>
  </cols>
  <sheetData>
    <row r="1" spans="1:1" ht="18" customHeight="1" x14ac:dyDescent="0.25">
      <c r="A1" s="1" t="s">
        <v>110</v>
      </c>
    </row>
    <row r="2" spans="1:1" ht="18" customHeight="1" x14ac:dyDescent="0.25">
      <c r="A2" s="2" t="s">
        <v>111</v>
      </c>
    </row>
    <row r="3" spans="1:1" ht="18" customHeight="1" x14ac:dyDescent="0.25">
      <c r="A3" s="3" t="s">
        <v>51</v>
      </c>
    </row>
    <row r="4" spans="1:1" ht="18" customHeight="1" x14ac:dyDescent="0.25">
      <c r="A4" s="2" t="s">
        <v>112</v>
      </c>
    </row>
    <row r="5" spans="1:1" ht="18" customHeight="1" x14ac:dyDescent="0.25">
      <c r="A5" s="2" t="s">
        <v>113</v>
      </c>
    </row>
    <row r="6" spans="1:1" ht="18" customHeight="1" x14ac:dyDescent="0.25">
      <c r="A6" s="2" t="s">
        <v>114</v>
      </c>
    </row>
    <row r="7" spans="1:1" ht="18" customHeight="1" x14ac:dyDescent="0.25">
      <c r="A7" s="2" t="s">
        <v>115</v>
      </c>
    </row>
    <row r="8" spans="1:1" ht="18" customHeight="1" x14ac:dyDescent="0.25">
      <c r="A8" t="s">
        <v>116</v>
      </c>
    </row>
    <row r="9" spans="1:1" ht="18" customHeight="1" x14ac:dyDescent="0.25"/>
    <row r="10" spans="1:1" ht="18" customHeight="1" x14ac:dyDescent="0.25">
      <c r="A10" t="s">
        <v>117</v>
      </c>
    </row>
    <row r="11" spans="1:1" ht="18" customHeight="1" x14ac:dyDescent="0.25">
      <c r="A11" t="s">
        <v>118</v>
      </c>
    </row>
    <row r="12" spans="1:1" ht="18" customHeight="1" x14ac:dyDescent="0.25">
      <c r="A12" s="2"/>
    </row>
    <row r="13" spans="1:1" ht="18" customHeight="1" x14ac:dyDescent="0.25">
      <c r="A13" s="3" t="s">
        <v>119</v>
      </c>
    </row>
    <row r="14" spans="1:1" ht="18" customHeight="1" x14ac:dyDescent="0.25">
      <c r="A14" s="2" t="s">
        <v>120</v>
      </c>
    </row>
    <row r="15" spans="1:1" ht="18" customHeight="1" x14ac:dyDescent="0.25">
      <c r="A15" s="2" t="s">
        <v>121</v>
      </c>
    </row>
    <row r="16" spans="1:1" ht="18" customHeight="1" x14ac:dyDescent="0.25">
      <c r="A16" s="2" t="s">
        <v>122</v>
      </c>
    </row>
    <row r="17" spans="1:1" ht="18" customHeight="1" x14ac:dyDescent="0.25">
      <c r="A17" s="2" t="s">
        <v>123</v>
      </c>
    </row>
    <row r="18" spans="1:1" ht="18" customHeight="1" x14ac:dyDescent="0.25">
      <c r="A18" s="2"/>
    </row>
    <row r="19" spans="1:1" ht="18" customHeight="1" x14ac:dyDescent="0.25">
      <c r="A19" s="3" t="s">
        <v>124</v>
      </c>
    </row>
    <row r="20" spans="1:1" ht="18" customHeight="1" x14ac:dyDescent="0.25">
      <c r="A20" s="2" t="s">
        <v>125</v>
      </c>
    </row>
    <row r="21" spans="1:1" ht="18" customHeight="1" x14ac:dyDescent="0.25">
      <c r="A21" s="2" t="s">
        <v>126</v>
      </c>
    </row>
    <row r="22" spans="1:1" ht="18" customHeight="1" x14ac:dyDescent="0.25">
      <c r="A22" s="2" t="s">
        <v>127</v>
      </c>
    </row>
    <row r="23" spans="1:1" ht="18" customHeight="1" x14ac:dyDescent="0.25">
      <c r="A23" s="2"/>
    </row>
    <row r="24" spans="1:1" ht="18" customHeight="1" x14ac:dyDescent="0.25">
      <c r="A24" s="2"/>
    </row>
    <row r="25" spans="1:1" x14ac:dyDescent="0.25">
      <c r="A25" s="2"/>
    </row>
    <row r="26" spans="1:1" x14ac:dyDescent="0.25">
      <c r="A26" s="2"/>
    </row>
    <row r="27" spans="1:1" x14ac:dyDescent="0.25">
      <c r="A27" s="2"/>
    </row>
    <row r="28" spans="1:1" x14ac:dyDescent="0.25">
      <c r="A2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BOM</vt:lpstr>
      <vt:lpstr>Locked Decisions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Maker</cp:lastModifiedBy>
  <dcterms:created xsi:type="dcterms:W3CDTF">2026-01-11T06:44:51Z</dcterms:created>
  <dcterms:modified xsi:type="dcterms:W3CDTF">2026-01-11T07:54:06Z</dcterms:modified>
</cp:coreProperties>
</file>